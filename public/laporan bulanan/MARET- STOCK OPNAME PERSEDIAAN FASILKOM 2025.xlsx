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D75ED8DD05811C/Dokumen/"/>
    </mc:Choice>
  </mc:AlternateContent>
  <xr:revisionPtr revIDLastSave="0" documentId="8_{195B7ADD-F3F5-45A5-B922-4720DE344D84}" xr6:coauthVersionLast="47" xr6:coauthVersionMax="47" xr10:uidLastSave="{00000000-0000-0000-0000-000000000000}"/>
  <bookViews>
    <workbookView xWindow="-96" yWindow="0" windowWidth="11712" windowHeight="12336" xr2:uid="{D0ED4B54-1CF3-472E-A64D-141FED9F4512}"/>
  </bookViews>
  <sheets>
    <sheet name="mar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3" i="1" l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</calcChain>
</file>

<file path=xl/sharedStrings.xml><?xml version="1.0" encoding="utf-8"?>
<sst xmlns="http://schemas.openxmlformats.org/spreadsheetml/2006/main" count="181" uniqueCount="169">
  <si>
    <t>LAMPIRAN BERITA ACARA STOK OPNAME FISIK PERSEDIAAN</t>
  </si>
  <si>
    <t>Lampiran 1</t>
  </si>
  <si>
    <t xml:space="preserve">Nomor </t>
  </si>
  <si>
    <t>: 1731/UN64.7/LK/2024</t>
  </si>
  <si>
    <t xml:space="preserve">Tanggal </t>
  </si>
  <si>
    <t>: 22 Maret 2024</t>
  </si>
  <si>
    <t>Unit</t>
  </si>
  <si>
    <t>: Fakultas Ilmu Komputer</t>
  </si>
  <si>
    <t xml:space="preserve">LAPORAN STOCK OPNAME </t>
  </si>
  <si>
    <t>UNTUK PERIODE YANG BERAKHIR TANGGAL  22 MARET 2024</t>
  </si>
  <si>
    <t>TAHUN ANGGARAN</t>
  </si>
  <si>
    <t>No</t>
  </si>
  <si>
    <t>Jenis Barang</t>
  </si>
  <si>
    <t>Hasil Stock Opname</t>
  </si>
  <si>
    <t xml:space="preserve">Kondisi Barang </t>
  </si>
  <si>
    <t>Jumlah</t>
  </si>
  <si>
    <t xml:space="preserve"> Harga Satuan</t>
  </si>
  <si>
    <t>Total Harga</t>
  </si>
  <si>
    <t>Baik</t>
  </si>
  <si>
    <t>Rusak /Usang</t>
  </si>
  <si>
    <t>Amplop Coklat F4 Polos</t>
  </si>
  <si>
    <t xml:space="preserve"> </t>
  </si>
  <si>
    <t>Amplop Polos Putih No.104</t>
  </si>
  <si>
    <t>Amplop Polos Putih No.110</t>
  </si>
  <si>
    <t>Amplop Polos Putih No.90</t>
  </si>
  <si>
    <t>Balliner Biru Bergaris Medium</t>
  </si>
  <si>
    <t>Balliner Hitam Bergaris Medium</t>
  </si>
  <si>
    <t>Ballpoin Warna Biru</t>
  </si>
  <si>
    <t>Ballpoin Warna Hitam</t>
  </si>
  <si>
    <t>Bantex Box File Warna Maroon</t>
  </si>
  <si>
    <t>Bantex Ordner Warna Maroon</t>
  </si>
  <si>
    <t>Baterai 9 volt</t>
  </si>
  <si>
    <t>Baterai Alkaline Size AA LR6 1.5V Isi 2</t>
  </si>
  <si>
    <t>Baterai Alkaline Size AAA LR6 1.5V Isi 2</t>
  </si>
  <si>
    <t>Binder Clip 105</t>
  </si>
  <si>
    <t>Binder Clip 107</t>
  </si>
  <si>
    <t>Binder Clip 111</t>
  </si>
  <si>
    <t>Binder Clip 155</t>
  </si>
  <si>
    <t>Binder Clip 200</t>
  </si>
  <si>
    <t>Binder Clip 260 (1 dus = 12 pcs)</t>
  </si>
  <si>
    <t>Buku Ekspedisi Ukuran Folio (Besar)</t>
  </si>
  <si>
    <t>Carry file zipper bag</t>
  </si>
  <si>
    <t>Cutter pisau besar L.500</t>
  </si>
  <si>
    <t>Cutter pisau Kecil L.300</t>
  </si>
  <si>
    <t>Dispenser Tape Sedang No. 50</t>
  </si>
  <si>
    <t>Double Tape Ukuran 1 Inchi</t>
  </si>
  <si>
    <t>Double Tape Ukuran 2 Inchi</t>
  </si>
  <si>
    <t>Flashdisk 128 Gb</t>
  </si>
  <si>
    <t>Glossy Photo Paper A4 isi 20</t>
  </si>
  <si>
    <t>Gunting Kertas Besar</t>
  </si>
  <si>
    <t>Gunting Kertas Kecil</t>
  </si>
  <si>
    <t>Isi Cutter Besar L500</t>
  </si>
  <si>
    <t>Isi Cutter Kecil L300</t>
  </si>
  <si>
    <t>Isi Stapler No. 10 (Kecil)</t>
  </si>
  <si>
    <t>Isi Pensil Mekanik</t>
  </si>
  <si>
    <t>Kalkulator 16 Digit</t>
  </si>
  <si>
    <t>Kertas HVS A4 70 Grm</t>
  </si>
  <si>
    <t>Kertas HVS A4 80 Grm</t>
  </si>
  <si>
    <t>Kertas HVS F4 70 Grm</t>
  </si>
  <si>
    <t>Kertas HVS F4 80 Grm</t>
  </si>
  <si>
    <t>Kertas sticker Ukuran A4</t>
  </si>
  <si>
    <t>Keyboard Komputer K120</t>
  </si>
  <si>
    <t>Lakban Bening 24 Milimeter</t>
  </si>
  <si>
    <t>Lakban Bening 48 Milimeter</t>
  </si>
  <si>
    <t>Lakban Hitam 24 Milimeter</t>
  </si>
  <si>
    <t>Lakban Hitam 48 Milimeter</t>
  </si>
  <si>
    <t>Lem Fox</t>
  </si>
  <si>
    <t>Lem Fox Stik PVAc Botol 60 gr</t>
  </si>
  <si>
    <t>Map Daichi Bussines File F4 (Daiichi Clear Sleeves 9002 )</t>
  </si>
  <si>
    <t>Mouse WIRELLES</t>
  </si>
  <si>
    <t>Note Book (Agenda)</t>
  </si>
  <si>
    <t>Paper Clip Trigonal No.1</t>
  </si>
  <si>
    <t>Paper Clip Trigonal No.3</t>
  </si>
  <si>
    <t>Paper Clip Trigonal No.5</t>
  </si>
  <si>
    <t>Penggaris Besi 30 Cm</t>
  </si>
  <si>
    <t>Penghapus Pensil</t>
  </si>
  <si>
    <t>Penghapus Whiteboard</t>
  </si>
  <si>
    <t>Pensil Mekanik</t>
  </si>
  <si>
    <t>Pos It Sign Here 3M</t>
  </si>
  <si>
    <t>Post It Flags</t>
  </si>
  <si>
    <t>Post It Warna Warni Ukuran Sedang</t>
  </si>
  <si>
    <t>Snel Hecter Map Warna Biru, Merah, Kuning, Hijau dan Orange (map plastik bening)</t>
  </si>
  <si>
    <t>Spidol Permanent</t>
  </si>
  <si>
    <t>Spidol Whiteboard Biru</t>
  </si>
  <si>
    <t>Spidol Whiteboard Hitam</t>
  </si>
  <si>
    <t>Stabillo warna Kuning</t>
  </si>
  <si>
    <t>Stabillo warna Merah Muda</t>
  </si>
  <si>
    <t>Stapler No. 10 (Kecil)</t>
  </si>
  <si>
    <t>Stapler No. 3 (Sedang)</t>
  </si>
  <si>
    <t>Stationer (Tempat ATK)</t>
  </si>
  <si>
    <t>Tip-Ex</t>
  </si>
  <si>
    <t>Tip-Ex Kertas (Correction Tape)</t>
  </si>
  <si>
    <t>Tray 3 Susun Elegan Transferan</t>
  </si>
  <si>
    <t>ORICO W6PH4 BK USB 3.0 4 port</t>
  </si>
  <si>
    <t>Faster Pulpen Cetek C6 Black 0.7mm</t>
  </si>
  <si>
    <t>Tom &amp; Jerry Label Stiker No.100</t>
  </si>
  <si>
    <t>Bantex Staples Remover</t>
  </si>
  <si>
    <t>Penggaris Besi 60cm</t>
  </si>
  <si>
    <t>Staedtler Pencil 2B</t>
  </si>
  <si>
    <t>Rautan Pensil</t>
  </si>
  <si>
    <t>Tom &amp; Jerry Label Stiker No.101</t>
  </si>
  <si>
    <t>Tom &amp; Jerry Label Stiker No.120</t>
  </si>
  <si>
    <t>Tom &amp; Jerry Label Stiker No.121</t>
  </si>
  <si>
    <t>Clear Holder Ukuran Folio Isi 40 Lembar</t>
  </si>
  <si>
    <t>Isi Staples Tembak (23/6, 23/8, 23/10, T-8, dan T-10)</t>
  </si>
  <si>
    <t>Isi Stapler No. 3 (Sedang)</t>
  </si>
  <si>
    <t>Kertas Double Folio Bergaris</t>
  </si>
  <si>
    <t>Kertas Foto Inkjet Paper</t>
  </si>
  <si>
    <t>Kertas HVS Berwarna A4 Biru</t>
  </si>
  <si>
    <t>Kertas HVS Berwarna A4 Hijau</t>
  </si>
  <si>
    <t>Kertas HVS Berwarna A4 Kuning</t>
  </si>
  <si>
    <t>Kertas (kertas concorde) putih</t>
  </si>
  <si>
    <t>Pointer</t>
  </si>
  <si>
    <t>Porvorator (Pembolong Sedang)</t>
  </si>
  <si>
    <t>Spidol Whiteboard Merah</t>
  </si>
  <si>
    <t>Stapler Kangaro 23/10 mm (tembak Besar)</t>
  </si>
  <si>
    <t>Hdmi To VGA</t>
  </si>
  <si>
    <t>Buku Ekspedisi Sedang</t>
  </si>
  <si>
    <t>EPSON 664 Black</t>
  </si>
  <si>
    <t>EPSON 664 magenta</t>
  </si>
  <si>
    <t>EPSON 664 yellow</t>
  </si>
  <si>
    <t>EPSON 664 blue</t>
  </si>
  <si>
    <t>EPSON 673 Black</t>
  </si>
  <si>
    <t>EPSON 673 Colour</t>
  </si>
  <si>
    <t>Tinta Stempel Automatic Warna Biru</t>
  </si>
  <si>
    <t>Tinta Stempel Automatic Warna Ungu</t>
  </si>
  <si>
    <t>Tinta Stempel Pyramid Biru</t>
  </si>
  <si>
    <t>Tinta Stempel Pyramid Ungu</t>
  </si>
  <si>
    <t>HP 680 Colour</t>
  </si>
  <si>
    <t>EPSON 003 Black</t>
  </si>
  <si>
    <t>EPSON 003 magenta</t>
  </si>
  <si>
    <t>EPSON 003 yellow</t>
  </si>
  <si>
    <t>EPSON 003 blue</t>
  </si>
  <si>
    <t>EPSON 001 Black</t>
  </si>
  <si>
    <t>EPSON 001 magenta</t>
  </si>
  <si>
    <t>EPSON 001 Cyan</t>
  </si>
  <si>
    <t>EPSON 001 Yellow</t>
  </si>
  <si>
    <t>HP 85A Black Laserjet</t>
  </si>
  <si>
    <t>HP 680 Black</t>
  </si>
  <si>
    <t>HP Deksjet Ink Advantage 678 Black</t>
  </si>
  <si>
    <t>HP Deksjet Ink Advantage 678 Tricolour</t>
  </si>
  <si>
    <t>EPSON 008 Black Pigment</t>
  </si>
  <si>
    <t>TintaHP GT 51 Black</t>
  </si>
  <si>
    <t>TintaHP GT 51 Colour</t>
  </si>
  <si>
    <t>HP LaserJet Toner Cartridge 76A CF276A Black</t>
  </si>
  <si>
    <t>HP LaserJet Toner Cartridge 17A CF217A Black</t>
  </si>
  <si>
    <t>Toner Epson T9481</t>
  </si>
  <si>
    <t>Toner Epson T9482</t>
  </si>
  <si>
    <t>Toner Epson T9483</t>
  </si>
  <si>
    <t>Toner Epson T9484</t>
  </si>
  <si>
    <t>Tinta Printer untuk Epson L6270 Hitam</t>
  </si>
  <si>
    <t>Tinta Printer untuk Epson L6270 Biru</t>
  </si>
  <si>
    <t>Tinta Printer untuk Epson L6270 Kuning</t>
  </si>
  <si>
    <t>Tinta Printer untuk Epson L6270 Merah</t>
  </si>
  <si>
    <t>HP DeskJet Colour</t>
  </si>
  <si>
    <t>HP DeskJet Black</t>
  </si>
  <si>
    <t>HP DeskJet Cartridge</t>
  </si>
  <si>
    <t>HP LaserJet Toner 107 A</t>
  </si>
  <si>
    <t>Tinta Brother DCP-T720DW BT5000C (Cyan)</t>
  </si>
  <si>
    <t>Tinta Brother DCP-T720DW BT5000M (Meganta)</t>
  </si>
  <si>
    <t>Tinta Brother DCP-T720DW BT5000Y(Yellow)</t>
  </si>
  <si>
    <t>Tinta Brother DCP-T720DW BTD60BK (Hitam)</t>
  </si>
  <si>
    <t>Mengetahui,</t>
  </si>
  <si>
    <t>Dekan,</t>
  </si>
  <si>
    <t>Operator Persediaan</t>
  </si>
  <si>
    <t>Dr. Oman Komarudin, S.Si., M.Kom.</t>
  </si>
  <si>
    <t>M Rizki Fauzi S, S.Pd.</t>
  </si>
  <si>
    <t>NIP. 197704062021211004</t>
  </si>
  <si>
    <t>NIP. 199111052021211001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</si>
</sst>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0"/>
      <color theme="1"/>
      <name val="Bookman Old Style"/>
    </font>
    <font>
      <sz val="11"/>
      <color theme="1"/>
      <name val="Bookman Old Style"/>
    </font>
    <font>
      <i/>
      <sz val="12"/>
      <color theme="1"/>
      <name val="Bookman Old Style"/>
    </font>
    <font>
      <sz val="11"/>
      <name val="Calibri"/>
    </font>
    <font>
      <i/>
      <sz val="11"/>
      <color theme="1"/>
      <name val="Bookman Old Style"/>
    </font>
    <font>
      <sz val="12"/>
      <color theme="1"/>
      <name val="Bookman Old Style"/>
    </font>
    <font>
      <b/>
      <sz val="12"/>
      <color theme="1"/>
      <name val="Bookman Old Style"/>
    </font>
    <font>
      <sz val="14"/>
      <color theme="1"/>
      <name val="Bookman Old Style"/>
    </font>
    <font>
      <b/>
      <sz val="12"/>
      <color rgb="FF000000"/>
      <name val="Bookman Old Style"/>
    </font>
    <font>
      <sz val="11"/>
      <color theme="1"/>
      <name val="Century Gothic"/>
    </font>
    <font>
      <sz val="12"/>
      <color theme="1"/>
      <name val="Century Gothic"/>
    </font>
    <font>
      <sz val="11"/>
      <color theme="1"/>
      <name val="Calibri"/>
    </font>
    <font>
      <sz val="12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2" fillId="2" borderId="0" xfId="0" applyFont="1" applyFill="1" applyAlignment="1">
      <alignment horizontal="left" vertical="center"/>
    </xf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2" borderId="0" xfId="0" applyFont="1" applyFill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0" xfId="0"/>
    <xf numFmtId="0" fontId="9" fillId="0" borderId="0" xfId="0" applyFont="1"/>
    <xf numFmtId="0" fontId="9" fillId="0" borderId="0" xfId="0" applyFont="1" applyAlignment="1">
      <alignment wrapText="1"/>
    </xf>
    <xf numFmtId="0" fontId="9" fillId="0" borderId="0" xfId="0" applyFont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1" fontId="8" fillId="2" borderId="2" xfId="0" applyNumberFormat="1" applyFont="1" applyFill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  <xf numFmtId="0" fontId="8" fillId="2" borderId="2" xfId="0" applyFont="1" applyFill="1" applyBorder="1" applyAlignment="1">
      <alignment horizontal="center" vertical="center" wrapText="1"/>
    </xf>
    <xf numFmtId="0" fontId="5" fillId="0" borderId="5" xfId="0" applyFont="1" applyBorder="1"/>
    <xf numFmtId="0" fontId="8" fillId="2" borderId="6" xfId="0" applyFont="1" applyFill="1" applyBorder="1" applyAlignment="1">
      <alignment horizontal="center" vertical="center" wrapText="1"/>
    </xf>
    <xf numFmtId="1" fontId="8" fillId="2" borderId="6" xfId="0" applyNumberFormat="1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11" fillId="3" borderId="6" xfId="0" applyFont="1" applyFill="1" applyBorder="1" applyAlignment="1">
      <alignment horizontal="center"/>
    </xf>
    <xf numFmtId="0" fontId="12" fillId="3" borderId="4" xfId="0" applyFont="1" applyFill="1" applyBorder="1"/>
    <xf numFmtId="0" fontId="12" fillId="3" borderId="4" xfId="0" applyFont="1" applyFill="1" applyBorder="1" applyAlignment="1">
      <alignment horizontal="center"/>
    </xf>
    <xf numFmtId="3" fontId="12" fillId="3" borderId="4" xfId="0" applyNumberFormat="1" applyFont="1" applyFill="1" applyBorder="1" applyAlignment="1">
      <alignment horizontal="center"/>
    </xf>
    <xf numFmtId="3" fontId="11" fillId="3" borderId="4" xfId="0" applyNumberFormat="1" applyFont="1" applyFill="1" applyBorder="1" applyAlignment="1">
      <alignment horizontal="center"/>
    </xf>
    <xf numFmtId="0" fontId="3" fillId="0" borderId="4" xfId="0" applyFont="1" applyBorder="1"/>
    <xf numFmtId="0" fontId="13" fillId="0" borderId="4" xfId="0" applyFont="1" applyBorder="1"/>
    <xf numFmtId="0" fontId="11" fillId="3" borderId="5" xfId="0" applyFont="1" applyFill="1" applyBorder="1" applyAlignment="1">
      <alignment horizontal="center"/>
    </xf>
    <xf numFmtId="0" fontId="12" fillId="3" borderId="7" xfId="0" applyFont="1" applyFill="1" applyBorder="1"/>
    <xf numFmtId="0" fontId="11" fillId="3" borderId="7" xfId="0" applyFont="1" applyFill="1" applyBorder="1" applyAlignment="1">
      <alignment horizontal="center"/>
    </xf>
    <xf numFmtId="3" fontId="12" fillId="3" borderId="7" xfId="0" applyNumberFormat="1" applyFont="1" applyFill="1" applyBorder="1" applyAlignment="1">
      <alignment horizontal="center"/>
    </xf>
    <xf numFmtId="0" fontId="13" fillId="0" borderId="7" xfId="0" applyFont="1" applyBorder="1"/>
    <xf numFmtId="0" fontId="12" fillId="3" borderId="7" xfId="0" applyFont="1" applyFill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13" fillId="0" borderId="6" xfId="0" applyFont="1" applyBorder="1"/>
    <xf numFmtId="0" fontId="13" fillId="3" borderId="6" xfId="0" applyFont="1" applyFill="1" applyBorder="1"/>
    <xf numFmtId="0" fontId="11" fillId="3" borderId="7" xfId="0" applyFont="1" applyFill="1" applyBorder="1"/>
    <xf numFmtId="3" fontId="11" fillId="3" borderId="7" xfId="0" applyNumberFormat="1" applyFont="1" applyFill="1" applyBorder="1" applyAlignment="1">
      <alignment horizontal="center"/>
    </xf>
    <xf numFmtId="3" fontId="11" fillId="0" borderId="7" xfId="0" applyNumberFormat="1" applyFont="1" applyBorder="1" applyAlignment="1">
      <alignment horizontal="center"/>
    </xf>
    <xf numFmtId="0" fontId="12" fillId="3" borderId="7" xfId="0" applyFont="1" applyFill="1" applyBorder="1" applyAlignment="1">
      <alignment vertical="top"/>
    </xf>
    <xf numFmtId="0" fontId="11" fillId="0" borderId="7" xfId="0" applyFont="1" applyBorder="1" applyAlignment="1">
      <alignment horizontal="center"/>
    </xf>
    <xf numFmtId="0" fontId="13" fillId="0" borderId="0" xfId="0" applyFont="1"/>
    <xf numFmtId="0" fontId="3" fillId="3" borderId="0" xfId="0" applyFont="1" applyFill="1" applyAlignment="1">
      <alignment horizontal="center"/>
    </xf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7" fillId="0" borderId="0" xfId="0" applyFont="1"/>
    <xf numFmtId="0" fontId="14" fillId="0" borderId="0" xfId="0" applyFont="1"/>
  </cellXfs>
  <cellStyles count="2">
    <cellStyle name="Normal" xfId="0" builtinId="0"/>
    <cellStyle name="Normal 2" xfId="1" xr:uid="{1163BCF3-FF8A-4B2C-8330-C2E655F68C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13321-C0AB-4578-8946-128712BF8027}">
  <dimension ref="A1:Z1000"/>
  <sheetViews>
    <sheetView tabSelected="1" topLeftCell="B3" workbookViewId="0">
      <selection sqref="A1:XFD1048576"/>
    </sheetView>
  </sheetViews>
  <sheetFormatPr defaultColWidth="14.44140625" defaultRowHeight="14.4"/>
  <cols>
    <col min="1" max="1" width="11" customWidth="1"/>
    <col min="2" max="2" width="74.33203125" customWidth="1"/>
    <col min="3" max="3" width="13.88671875" customWidth="1"/>
    <col min="4" max="4" width="15.6640625" customWidth="1"/>
    <col min="5" max="5" width="16.88671875" customWidth="1"/>
    <col min="6" max="6" width="11.88671875" customWidth="1"/>
    <col min="7" max="7" width="15.6640625" customWidth="1"/>
    <col min="8" max="26" width="8.6640625" customWidth="1"/>
  </cols>
  <sheetData>
    <row r="1" spans="1:26" ht="6" customHeight="1">
      <c r="A1" s="1"/>
      <c r="B1" s="2"/>
      <c r="C1" s="3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.5" customHeight="1">
      <c r="A2" s="5" t="s">
        <v>0</v>
      </c>
      <c r="B2" s="6"/>
      <c r="C2" s="6"/>
      <c r="D2" s="6"/>
      <c r="E2" s="6"/>
      <c r="F2" s="4"/>
      <c r="G2" s="7" t="s">
        <v>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6">
      <c r="A3" s="8" t="s">
        <v>2</v>
      </c>
      <c r="B3" s="8" t="s">
        <v>3</v>
      </c>
      <c r="C3" s="9"/>
      <c r="D3" s="9"/>
      <c r="E3" s="9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6">
      <c r="A4" s="8" t="s">
        <v>4</v>
      </c>
      <c r="B4" s="8" t="s">
        <v>5</v>
      </c>
      <c r="C4" s="9"/>
      <c r="D4" s="9"/>
      <c r="E4" s="9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6">
      <c r="A5" s="8" t="s">
        <v>6</v>
      </c>
      <c r="B5" s="10" t="s">
        <v>7</v>
      </c>
      <c r="C5" s="11"/>
      <c r="D5" s="11"/>
      <c r="E5" s="11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6">
      <c r="A6" s="12" t="s">
        <v>8</v>
      </c>
      <c r="B6" s="13"/>
      <c r="C6" s="13"/>
      <c r="D6" s="13"/>
      <c r="E6" s="1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6">
      <c r="A7" s="12" t="s">
        <v>9</v>
      </c>
      <c r="B7" s="13"/>
      <c r="C7" s="13"/>
      <c r="D7" s="13"/>
      <c r="E7" s="1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6">
      <c r="A8" s="12" t="s">
        <v>10</v>
      </c>
      <c r="B8" s="13"/>
      <c r="C8" s="13"/>
      <c r="D8" s="13"/>
      <c r="E8" s="1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7.399999999999999">
      <c r="A9" s="14"/>
      <c r="B9" s="15"/>
      <c r="C9" s="16"/>
      <c r="D9" s="16"/>
      <c r="E9" s="16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7" customHeight="1">
      <c r="A10" s="17" t="s">
        <v>11</v>
      </c>
      <c r="B10" s="18" t="s">
        <v>12</v>
      </c>
      <c r="C10" s="19" t="s">
        <v>13</v>
      </c>
      <c r="D10" s="20"/>
      <c r="E10" s="21"/>
      <c r="F10" s="22" t="s">
        <v>14</v>
      </c>
      <c r="G10" s="21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43.5" customHeight="1">
      <c r="A11" s="23"/>
      <c r="B11" s="23"/>
      <c r="C11" s="24" t="s">
        <v>15</v>
      </c>
      <c r="D11" s="25" t="s">
        <v>16</v>
      </c>
      <c r="E11" s="26" t="s">
        <v>17</v>
      </c>
      <c r="F11" s="24" t="s">
        <v>18</v>
      </c>
      <c r="G11" s="24" t="s">
        <v>19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6">
      <c r="A12" s="27">
        <v>1</v>
      </c>
      <c r="B12" s="28" t="s">
        <v>20</v>
      </c>
      <c r="C12" s="29">
        <v>2</v>
      </c>
      <c r="D12" s="30">
        <v>46454</v>
      </c>
      <c r="E12" s="31">
        <f t="shared" ref="E12:E152" si="0">D12*C12</f>
        <v>92908</v>
      </c>
      <c r="F12" s="32" t="s">
        <v>21</v>
      </c>
      <c r="G12" s="33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6">
      <c r="A13" s="34">
        <v>2</v>
      </c>
      <c r="B13" s="35" t="s">
        <v>22</v>
      </c>
      <c r="C13" s="36">
        <v>1</v>
      </c>
      <c r="D13" s="37">
        <v>19592</v>
      </c>
      <c r="E13" s="31">
        <f t="shared" si="0"/>
        <v>19592</v>
      </c>
      <c r="F13" s="38"/>
      <c r="G13" s="38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6">
      <c r="A14" s="34">
        <v>3</v>
      </c>
      <c r="B14" s="35" t="s">
        <v>23</v>
      </c>
      <c r="C14" s="36">
        <v>2</v>
      </c>
      <c r="D14" s="37">
        <v>22089</v>
      </c>
      <c r="E14" s="31">
        <f t="shared" si="0"/>
        <v>44178</v>
      </c>
      <c r="F14" s="38"/>
      <c r="G14" s="38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6">
      <c r="A15" s="34">
        <v>4</v>
      </c>
      <c r="B15" s="35" t="s">
        <v>24</v>
      </c>
      <c r="C15" s="36">
        <v>2</v>
      </c>
      <c r="D15" s="37">
        <v>26307</v>
      </c>
      <c r="E15" s="31">
        <f t="shared" si="0"/>
        <v>52614</v>
      </c>
      <c r="F15" s="38"/>
      <c r="G15" s="38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6">
      <c r="A16" s="34">
        <v>5</v>
      </c>
      <c r="B16" s="35" t="s">
        <v>25</v>
      </c>
      <c r="C16" s="39">
        <v>15</v>
      </c>
      <c r="D16" s="37">
        <v>19601</v>
      </c>
      <c r="E16" s="31">
        <f t="shared" si="0"/>
        <v>294015</v>
      </c>
      <c r="F16" s="40" t="s">
        <v>21</v>
      </c>
      <c r="G16" s="38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6">
      <c r="A17" s="34">
        <v>6</v>
      </c>
      <c r="B17" s="35" t="s">
        <v>26</v>
      </c>
      <c r="C17" s="39">
        <v>50</v>
      </c>
      <c r="D17" s="37">
        <v>19601</v>
      </c>
      <c r="E17" s="31">
        <f t="shared" si="0"/>
        <v>980050</v>
      </c>
      <c r="F17" s="40" t="s">
        <v>21</v>
      </c>
      <c r="G17" s="38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6">
      <c r="A18" s="34">
        <v>7</v>
      </c>
      <c r="B18" s="35" t="s">
        <v>27</v>
      </c>
      <c r="C18" s="39">
        <v>40</v>
      </c>
      <c r="D18" s="37">
        <v>4440</v>
      </c>
      <c r="E18" s="31">
        <f t="shared" si="0"/>
        <v>177600</v>
      </c>
      <c r="F18" s="40" t="s">
        <v>21</v>
      </c>
      <c r="G18" s="38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6">
      <c r="A19" s="34">
        <v>8</v>
      </c>
      <c r="B19" s="35" t="s">
        <v>28</v>
      </c>
      <c r="C19" s="39">
        <v>62</v>
      </c>
      <c r="D19" s="37">
        <v>4440</v>
      </c>
      <c r="E19" s="31">
        <f t="shared" si="0"/>
        <v>275280</v>
      </c>
      <c r="F19" s="40" t="s">
        <v>21</v>
      </c>
      <c r="G19" s="38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6">
      <c r="A20" s="34">
        <v>9</v>
      </c>
      <c r="B20" s="35" t="s">
        <v>29</v>
      </c>
      <c r="C20" s="39">
        <v>5</v>
      </c>
      <c r="D20" s="37">
        <v>55691</v>
      </c>
      <c r="E20" s="31">
        <f t="shared" si="0"/>
        <v>278455</v>
      </c>
      <c r="F20" s="40" t="s">
        <v>21</v>
      </c>
      <c r="G20" s="38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34">
        <v>10</v>
      </c>
      <c r="B21" s="35" t="s">
        <v>30</v>
      </c>
      <c r="C21" s="39">
        <v>8</v>
      </c>
      <c r="D21" s="37">
        <v>55691</v>
      </c>
      <c r="E21" s="31">
        <f t="shared" si="0"/>
        <v>445528</v>
      </c>
      <c r="F21" s="40" t="s">
        <v>21</v>
      </c>
      <c r="G21" s="38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34">
        <v>11</v>
      </c>
      <c r="B22" s="35" t="s">
        <v>31</v>
      </c>
      <c r="C22" s="36"/>
      <c r="D22" s="37">
        <v>41625</v>
      </c>
      <c r="E22" s="31">
        <f t="shared" si="0"/>
        <v>0</v>
      </c>
      <c r="F22" s="38"/>
      <c r="G22" s="38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34">
        <v>12</v>
      </c>
      <c r="B23" s="35" t="s">
        <v>32</v>
      </c>
      <c r="C23" s="36">
        <v>6</v>
      </c>
      <c r="D23" s="37">
        <v>14985</v>
      </c>
      <c r="E23" s="31">
        <f t="shared" si="0"/>
        <v>89910</v>
      </c>
      <c r="F23" s="38"/>
      <c r="G23" s="38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34">
        <v>13</v>
      </c>
      <c r="B24" s="35" t="s">
        <v>33</v>
      </c>
      <c r="C24" s="36">
        <v>2</v>
      </c>
      <c r="D24" s="37">
        <v>27956</v>
      </c>
      <c r="E24" s="31">
        <f t="shared" si="0"/>
        <v>55912</v>
      </c>
      <c r="F24" s="38"/>
      <c r="G24" s="38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34">
        <v>14</v>
      </c>
      <c r="B25" s="35" t="s">
        <v>34</v>
      </c>
      <c r="C25" s="36">
        <v>10</v>
      </c>
      <c r="D25" s="37">
        <v>4079</v>
      </c>
      <c r="E25" s="31">
        <f t="shared" si="0"/>
        <v>40790</v>
      </c>
      <c r="F25" s="38"/>
      <c r="G25" s="38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34">
        <v>15</v>
      </c>
      <c r="B26" s="35" t="s">
        <v>35</v>
      </c>
      <c r="C26" s="36">
        <v>12</v>
      </c>
      <c r="D26" s="37">
        <v>3441</v>
      </c>
      <c r="E26" s="31">
        <f t="shared" si="0"/>
        <v>41292</v>
      </c>
      <c r="F26" s="38"/>
      <c r="G26" s="38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34">
        <v>16</v>
      </c>
      <c r="B27" s="35" t="s">
        <v>36</v>
      </c>
      <c r="C27" s="36">
        <v>13</v>
      </c>
      <c r="D27" s="37">
        <v>6660</v>
      </c>
      <c r="E27" s="31">
        <f t="shared" si="0"/>
        <v>86580</v>
      </c>
      <c r="F27" s="38"/>
      <c r="G27" s="38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34">
        <v>17</v>
      </c>
      <c r="B28" s="35" t="s">
        <v>37</v>
      </c>
      <c r="C28" s="36">
        <v>9</v>
      </c>
      <c r="D28" s="37">
        <v>8270</v>
      </c>
      <c r="E28" s="31">
        <f t="shared" si="0"/>
        <v>74430</v>
      </c>
      <c r="F28" s="38"/>
      <c r="G28" s="38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34">
        <v>18</v>
      </c>
      <c r="B29" s="35" t="s">
        <v>38</v>
      </c>
      <c r="C29" s="36">
        <v>5</v>
      </c>
      <c r="D29" s="37">
        <v>14874</v>
      </c>
      <c r="E29" s="31">
        <f t="shared" si="0"/>
        <v>74370</v>
      </c>
      <c r="F29" s="38"/>
      <c r="G29" s="38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34">
        <v>19</v>
      </c>
      <c r="B30" s="35" t="s">
        <v>39</v>
      </c>
      <c r="C30" s="36">
        <v>18</v>
      </c>
      <c r="D30" s="37">
        <v>19425</v>
      </c>
      <c r="E30" s="31">
        <f t="shared" si="0"/>
        <v>349650</v>
      </c>
      <c r="F30" s="38"/>
      <c r="G30" s="38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34">
        <v>20</v>
      </c>
      <c r="B31" s="35" t="s">
        <v>40</v>
      </c>
      <c r="C31" s="36"/>
      <c r="D31" s="37">
        <v>12654</v>
      </c>
      <c r="E31" s="31">
        <f t="shared" si="0"/>
        <v>0</v>
      </c>
      <c r="F31" s="38"/>
      <c r="G31" s="38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34">
        <v>21</v>
      </c>
      <c r="B32" s="35" t="s">
        <v>41</v>
      </c>
      <c r="C32" s="39">
        <v>0</v>
      </c>
      <c r="D32" s="37">
        <v>21978</v>
      </c>
      <c r="E32" s="31">
        <f t="shared" si="0"/>
        <v>0</v>
      </c>
      <c r="F32" s="41" t="s">
        <v>21</v>
      </c>
      <c r="G32" s="38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34">
        <v>22</v>
      </c>
      <c r="B33" s="35" t="s">
        <v>42</v>
      </c>
      <c r="C33" s="39">
        <v>2</v>
      </c>
      <c r="D33" s="37">
        <v>17205</v>
      </c>
      <c r="E33" s="31">
        <f t="shared" si="0"/>
        <v>34410</v>
      </c>
      <c r="F33" s="41" t="s">
        <v>21</v>
      </c>
      <c r="G33" s="38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34">
        <v>23</v>
      </c>
      <c r="B34" s="35" t="s">
        <v>43</v>
      </c>
      <c r="C34" s="39">
        <v>1</v>
      </c>
      <c r="D34" s="37">
        <v>6549</v>
      </c>
      <c r="E34" s="31">
        <f t="shared" si="0"/>
        <v>6549</v>
      </c>
      <c r="F34" s="41" t="s">
        <v>21</v>
      </c>
      <c r="G34" s="38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34">
        <v>24</v>
      </c>
      <c r="B35" s="35" t="s">
        <v>44</v>
      </c>
      <c r="C35" s="36">
        <v>1</v>
      </c>
      <c r="D35" s="37">
        <v>31635</v>
      </c>
      <c r="E35" s="31">
        <f t="shared" si="0"/>
        <v>31635</v>
      </c>
      <c r="F35" s="42"/>
      <c r="G35" s="42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34">
        <v>25</v>
      </c>
      <c r="B36" s="35" t="s">
        <v>45</v>
      </c>
      <c r="C36" s="39">
        <v>3</v>
      </c>
      <c r="D36" s="37">
        <v>6105</v>
      </c>
      <c r="E36" s="31">
        <f t="shared" si="0"/>
        <v>18315</v>
      </c>
      <c r="F36" s="40" t="s">
        <v>21</v>
      </c>
      <c r="G36" s="43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" customHeight="1">
      <c r="A37" s="34">
        <v>26</v>
      </c>
      <c r="B37" s="35" t="s">
        <v>46</v>
      </c>
      <c r="C37" s="36">
        <v>4</v>
      </c>
      <c r="D37" s="37">
        <v>12210</v>
      </c>
      <c r="E37" s="31">
        <f t="shared" si="0"/>
        <v>48840</v>
      </c>
      <c r="F37" s="38"/>
      <c r="G37" s="38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34">
        <v>27</v>
      </c>
      <c r="B38" s="35" t="s">
        <v>47</v>
      </c>
      <c r="C38" s="36">
        <v>3</v>
      </c>
      <c r="D38" s="37">
        <v>207570</v>
      </c>
      <c r="E38" s="31">
        <f t="shared" si="0"/>
        <v>622710</v>
      </c>
      <c r="F38" s="38"/>
      <c r="G38" s="38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34">
        <v>28</v>
      </c>
      <c r="B39" s="35" t="s">
        <v>48</v>
      </c>
      <c r="C39" s="39">
        <v>4</v>
      </c>
      <c r="D39" s="37">
        <v>29859</v>
      </c>
      <c r="E39" s="31">
        <f t="shared" si="0"/>
        <v>119436</v>
      </c>
      <c r="F39" s="38"/>
      <c r="G39" s="38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34">
        <v>29</v>
      </c>
      <c r="B40" s="35" t="s">
        <v>49</v>
      </c>
      <c r="C40" s="39">
        <v>2</v>
      </c>
      <c r="D40" s="37">
        <v>14319</v>
      </c>
      <c r="E40" s="31">
        <f t="shared" si="0"/>
        <v>28638</v>
      </c>
      <c r="F40" s="38"/>
      <c r="G40" s="38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34">
        <v>30</v>
      </c>
      <c r="B41" s="35" t="s">
        <v>50</v>
      </c>
      <c r="C41" s="39">
        <v>3</v>
      </c>
      <c r="D41" s="37">
        <v>11378</v>
      </c>
      <c r="E41" s="31">
        <f t="shared" si="0"/>
        <v>34134</v>
      </c>
      <c r="F41" s="38"/>
      <c r="G41" s="38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34">
        <v>31</v>
      </c>
      <c r="B42" s="35" t="s">
        <v>51</v>
      </c>
      <c r="C42" s="39">
        <v>1</v>
      </c>
      <c r="D42" s="37">
        <v>5826</v>
      </c>
      <c r="E42" s="31">
        <f t="shared" si="0"/>
        <v>5826</v>
      </c>
      <c r="F42" s="38"/>
      <c r="G42" s="38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34">
        <v>32</v>
      </c>
      <c r="B43" s="35" t="s">
        <v>52</v>
      </c>
      <c r="C43" s="39">
        <v>1</v>
      </c>
      <c r="D43" s="37">
        <v>4440</v>
      </c>
      <c r="E43" s="31">
        <f t="shared" si="0"/>
        <v>4440</v>
      </c>
      <c r="F43" s="38"/>
      <c r="G43" s="38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34">
        <v>34</v>
      </c>
      <c r="B44" s="35" t="s">
        <v>53</v>
      </c>
      <c r="C44" s="36">
        <v>7</v>
      </c>
      <c r="D44" s="37">
        <v>62049</v>
      </c>
      <c r="E44" s="31">
        <f t="shared" si="0"/>
        <v>434343</v>
      </c>
      <c r="F44" s="38"/>
      <c r="G44" s="38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34">
        <v>35</v>
      </c>
      <c r="B45" s="35" t="s">
        <v>54</v>
      </c>
      <c r="C45" s="36">
        <v>0</v>
      </c>
      <c r="D45" s="37">
        <v>72150</v>
      </c>
      <c r="E45" s="31">
        <f t="shared" si="0"/>
        <v>0</v>
      </c>
      <c r="F45" s="38"/>
      <c r="G45" s="38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34">
        <v>36</v>
      </c>
      <c r="B46" s="35" t="s">
        <v>55</v>
      </c>
      <c r="C46" s="36">
        <v>0</v>
      </c>
      <c r="D46" s="37">
        <v>266400</v>
      </c>
      <c r="E46" s="31">
        <f t="shared" si="0"/>
        <v>0</v>
      </c>
      <c r="F46" s="38"/>
      <c r="G46" s="38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34">
        <v>37</v>
      </c>
      <c r="B47" s="35" t="s">
        <v>56</v>
      </c>
      <c r="C47" s="39">
        <v>5</v>
      </c>
      <c r="D47" s="37">
        <v>73815</v>
      </c>
      <c r="E47" s="31">
        <f t="shared" si="0"/>
        <v>369075</v>
      </c>
      <c r="F47" s="38"/>
      <c r="G47" s="38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34">
        <v>38</v>
      </c>
      <c r="B48" s="35" t="s">
        <v>57</v>
      </c>
      <c r="C48" s="36">
        <v>1</v>
      </c>
      <c r="D48" s="37">
        <v>72150</v>
      </c>
      <c r="E48" s="31">
        <f t="shared" si="0"/>
        <v>72150</v>
      </c>
      <c r="F48" s="38"/>
      <c r="G48" s="38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34">
        <v>39</v>
      </c>
      <c r="B49" s="35" t="s">
        <v>58</v>
      </c>
      <c r="C49" s="39">
        <v>3</v>
      </c>
      <c r="D49" s="37">
        <v>72150</v>
      </c>
      <c r="E49" s="31">
        <f t="shared" si="0"/>
        <v>216450</v>
      </c>
      <c r="F49" s="38"/>
      <c r="G49" s="38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34">
        <v>40</v>
      </c>
      <c r="B50" s="35" t="s">
        <v>59</v>
      </c>
      <c r="C50" s="36">
        <v>2</v>
      </c>
      <c r="D50" s="37">
        <v>88800</v>
      </c>
      <c r="E50" s="31">
        <f t="shared" si="0"/>
        <v>177600</v>
      </c>
      <c r="F50" s="38"/>
      <c r="G50" s="38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34">
        <v>41</v>
      </c>
      <c r="B51" s="35" t="s">
        <v>60</v>
      </c>
      <c r="C51" s="36">
        <v>2</v>
      </c>
      <c r="D51" s="37">
        <v>32745</v>
      </c>
      <c r="E51" s="31">
        <f t="shared" si="0"/>
        <v>65490</v>
      </c>
      <c r="F51" s="38"/>
      <c r="G51" s="38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34">
        <v>42</v>
      </c>
      <c r="B52" s="35" t="s">
        <v>61</v>
      </c>
      <c r="C52" s="36">
        <v>1</v>
      </c>
      <c r="D52" s="37">
        <v>200910</v>
      </c>
      <c r="E52" s="31">
        <f t="shared" si="0"/>
        <v>200910</v>
      </c>
      <c r="F52" s="38"/>
      <c r="G52" s="38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34">
        <v>43</v>
      </c>
      <c r="B53" s="35" t="s">
        <v>62</v>
      </c>
      <c r="C53" s="39">
        <v>3</v>
      </c>
      <c r="D53" s="37">
        <v>11543</v>
      </c>
      <c r="E53" s="31">
        <f t="shared" si="0"/>
        <v>34629</v>
      </c>
      <c r="F53" s="38"/>
      <c r="G53" s="38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34">
        <v>44</v>
      </c>
      <c r="B54" s="35" t="s">
        <v>63</v>
      </c>
      <c r="C54" s="39">
        <v>5</v>
      </c>
      <c r="D54" s="37">
        <v>14430</v>
      </c>
      <c r="E54" s="31">
        <f t="shared" si="0"/>
        <v>72150</v>
      </c>
      <c r="F54" s="38"/>
      <c r="G54" s="38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34">
        <v>45</v>
      </c>
      <c r="B55" s="35" t="s">
        <v>64</v>
      </c>
      <c r="C55" s="39">
        <v>1</v>
      </c>
      <c r="D55" s="37">
        <v>11655</v>
      </c>
      <c r="E55" s="31">
        <f t="shared" si="0"/>
        <v>11655</v>
      </c>
      <c r="F55" s="38"/>
      <c r="G55" s="38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34">
        <v>46</v>
      </c>
      <c r="B56" s="35" t="s">
        <v>65</v>
      </c>
      <c r="C56" s="39">
        <v>2</v>
      </c>
      <c r="D56" s="37">
        <v>18315</v>
      </c>
      <c r="E56" s="31">
        <f t="shared" si="0"/>
        <v>36630</v>
      </c>
      <c r="F56" s="38"/>
      <c r="G56" s="38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34">
        <v>47</v>
      </c>
      <c r="B57" s="35" t="s">
        <v>66</v>
      </c>
      <c r="C57" s="39">
        <v>1</v>
      </c>
      <c r="D57" s="37">
        <v>18815</v>
      </c>
      <c r="E57" s="31">
        <f t="shared" si="0"/>
        <v>18815</v>
      </c>
      <c r="F57" s="38"/>
      <c r="G57" s="38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34">
        <v>48</v>
      </c>
      <c r="B58" s="35" t="s">
        <v>67</v>
      </c>
      <c r="C58" s="39">
        <v>2</v>
      </c>
      <c r="D58" s="37">
        <v>15540</v>
      </c>
      <c r="E58" s="31">
        <f t="shared" si="0"/>
        <v>31080</v>
      </c>
      <c r="F58" s="38"/>
      <c r="G58" s="38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34">
        <v>49</v>
      </c>
      <c r="B59" s="35" t="s">
        <v>68</v>
      </c>
      <c r="C59" s="36">
        <v>0</v>
      </c>
      <c r="D59" s="37">
        <v>52725</v>
      </c>
      <c r="E59" s="31">
        <f t="shared" si="0"/>
        <v>0</v>
      </c>
      <c r="F59" s="38"/>
      <c r="G59" s="38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34">
        <v>50</v>
      </c>
      <c r="B60" s="35" t="s">
        <v>69</v>
      </c>
      <c r="C60" s="36">
        <v>0</v>
      </c>
      <c r="D60" s="37">
        <v>173583</v>
      </c>
      <c r="E60" s="31">
        <f t="shared" si="0"/>
        <v>0</v>
      </c>
      <c r="F60" s="38"/>
      <c r="G60" s="38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34">
        <v>51</v>
      </c>
      <c r="B61" s="35" t="s">
        <v>70</v>
      </c>
      <c r="C61" s="39">
        <v>1</v>
      </c>
      <c r="D61" s="37">
        <v>40848</v>
      </c>
      <c r="E61" s="31">
        <f t="shared" si="0"/>
        <v>40848</v>
      </c>
      <c r="F61" s="38"/>
      <c r="G61" s="38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34">
        <v>52</v>
      </c>
      <c r="B62" s="35" t="s">
        <v>71</v>
      </c>
      <c r="C62" s="36">
        <v>5</v>
      </c>
      <c r="D62" s="37">
        <v>2775</v>
      </c>
      <c r="E62" s="31">
        <f t="shared" si="0"/>
        <v>13875</v>
      </c>
      <c r="F62" s="38"/>
      <c r="G62" s="38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34">
        <v>53</v>
      </c>
      <c r="B63" s="35" t="s">
        <v>72</v>
      </c>
      <c r="C63" s="36">
        <v>8</v>
      </c>
      <c r="D63" s="37">
        <v>4995</v>
      </c>
      <c r="E63" s="31">
        <f t="shared" si="0"/>
        <v>39960</v>
      </c>
      <c r="F63" s="38"/>
      <c r="G63" s="38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34">
        <v>54</v>
      </c>
      <c r="B64" s="35" t="s">
        <v>73</v>
      </c>
      <c r="C64" s="36">
        <v>7</v>
      </c>
      <c r="D64" s="37">
        <v>11100</v>
      </c>
      <c r="E64" s="31">
        <f t="shared" si="0"/>
        <v>77700</v>
      </c>
      <c r="F64" s="38"/>
      <c r="G64" s="38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34">
        <v>55</v>
      </c>
      <c r="B65" s="35" t="s">
        <v>74</v>
      </c>
      <c r="C65" s="36">
        <v>0</v>
      </c>
      <c r="D65" s="37">
        <v>7659</v>
      </c>
      <c r="E65" s="31">
        <f t="shared" si="0"/>
        <v>0</v>
      </c>
      <c r="F65" s="38"/>
      <c r="G65" s="38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34">
        <v>56</v>
      </c>
      <c r="B66" s="35" t="s">
        <v>75</v>
      </c>
      <c r="C66" s="36">
        <v>0</v>
      </c>
      <c r="D66" s="37">
        <v>3108</v>
      </c>
      <c r="E66" s="31">
        <f t="shared" si="0"/>
        <v>0</v>
      </c>
      <c r="F66" s="38"/>
      <c r="G66" s="38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34">
        <v>57</v>
      </c>
      <c r="B67" s="35" t="s">
        <v>76</v>
      </c>
      <c r="C67" s="39">
        <v>5</v>
      </c>
      <c r="D67" s="37">
        <v>10545</v>
      </c>
      <c r="E67" s="31">
        <f t="shared" si="0"/>
        <v>52725</v>
      </c>
      <c r="F67" s="38"/>
      <c r="G67" s="38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34">
        <v>58</v>
      </c>
      <c r="B68" s="35" t="s">
        <v>77</v>
      </c>
      <c r="C68" s="36">
        <v>0</v>
      </c>
      <c r="D68" s="37">
        <v>19532</v>
      </c>
      <c r="E68" s="31">
        <f t="shared" si="0"/>
        <v>0</v>
      </c>
      <c r="F68" s="38"/>
      <c r="G68" s="38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34">
        <v>59</v>
      </c>
      <c r="B69" s="35" t="s">
        <v>78</v>
      </c>
      <c r="C69" s="36">
        <v>0</v>
      </c>
      <c r="D69" s="37">
        <v>24975</v>
      </c>
      <c r="E69" s="31">
        <f t="shared" si="0"/>
        <v>0</v>
      </c>
      <c r="F69" s="38"/>
      <c r="G69" s="38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34">
        <v>60</v>
      </c>
      <c r="B70" s="35" t="s">
        <v>79</v>
      </c>
      <c r="C70" s="36">
        <v>3</v>
      </c>
      <c r="D70" s="37">
        <v>26196</v>
      </c>
      <c r="E70" s="31">
        <f t="shared" si="0"/>
        <v>78588</v>
      </c>
      <c r="F70" s="38"/>
      <c r="G70" s="38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34">
        <v>61</v>
      </c>
      <c r="B71" s="35" t="s">
        <v>80</v>
      </c>
      <c r="C71" s="39">
        <v>2</v>
      </c>
      <c r="D71" s="37">
        <v>26196</v>
      </c>
      <c r="E71" s="31">
        <f t="shared" si="0"/>
        <v>52392</v>
      </c>
      <c r="F71" s="38"/>
      <c r="G71" s="38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34">
        <v>62</v>
      </c>
      <c r="B72" s="35" t="s">
        <v>81</v>
      </c>
      <c r="C72" s="36">
        <v>0</v>
      </c>
      <c r="D72" s="37">
        <v>31080</v>
      </c>
      <c r="E72" s="31">
        <f t="shared" si="0"/>
        <v>0</v>
      </c>
      <c r="F72" s="38"/>
      <c r="G72" s="38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34">
        <v>63</v>
      </c>
      <c r="B73" s="35" t="s">
        <v>82</v>
      </c>
      <c r="C73" s="36">
        <v>2</v>
      </c>
      <c r="D73" s="37">
        <v>108780</v>
      </c>
      <c r="E73" s="31">
        <f t="shared" si="0"/>
        <v>217560</v>
      </c>
      <c r="F73" s="38"/>
      <c r="G73" s="38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34">
        <v>64</v>
      </c>
      <c r="B74" s="35" t="s">
        <v>83</v>
      </c>
      <c r="C74" s="36">
        <v>1</v>
      </c>
      <c r="D74" s="37">
        <v>194250</v>
      </c>
      <c r="E74" s="31">
        <f t="shared" si="0"/>
        <v>194250</v>
      </c>
      <c r="F74" s="38"/>
      <c r="G74" s="38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34">
        <v>65</v>
      </c>
      <c r="B75" s="35" t="s">
        <v>84</v>
      </c>
      <c r="C75" s="39">
        <v>1</v>
      </c>
      <c r="D75" s="37">
        <v>194250</v>
      </c>
      <c r="E75" s="31">
        <f t="shared" si="0"/>
        <v>194250</v>
      </c>
      <c r="F75" s="38"/>
      <c r="G75" s="38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34">
        <v>66</v>
      </c>
      <c r="B76" s="35" t="s">
        <v>85</v>
      </c>
      <c r="C76" s="36">
        <v>0</v>
      </c>
      <c r="D76" s="37">
        <v>14430</v>
      </c>
      <c r="E76" s="31">
        <f t="shared" si="0"/>
        <v>0</v>
      </c>
      <c r="F76" s="38"/>
      <c r="G76" s="38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34">
        <v>67</v>
      </c>
      <c r="B77" s="35" t="s">
        <v>86</v>
      </c>
      <c r="C77" s="36">
        <v>0</v>
      </c>
      <c r="D77" s="37">
        <v>14430</v>
      </c>
      <c r="E77" s="31">
        <f t="shared" si="0"/>
        <v>0</v>
      </c>
      <c r="F77" s="38"/>
      <c r="G77" s="38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34">
        <v>68</v>
      </c>
      <c r="B78" s="35" t="s">
        <v>87</v>
      </c>
      <c r="C78" s="36">
        <v>0</v>
      </c>
      <c r="D78" s="37">
        <v>29859</v>
      </c>
      <c r="E78" s="31">
        <f t="shared" si="0"/>
        <v>0</v>
      </c>
      <c r="F78" s="38"/>
      <c r="G78" s="38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34">
        <v>69</v>
      </c>
      <c r="B79" s="35" t="s">
        <v>88</v>
      </c>
      <c r="C79" s="36">
        <v>0</v>
      </c>
      <c r="D79" s="37">
        <v>29415</v>
      </c>
      <c r="E79" s="31">
        <f t="shared" si="0"/>
        <v>0</v>
      </c>
      <c r="F79" s="38"/>
      <c r="G79" s="38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34">
        <v>70</v>
      </c>
      <c r="B80" s="35" t="s">
        <v>89</v>
      </c>
      <c r="C80" s="36">
        <v>0</v>
      </c>
      <c r="D80" s="37">
        <v>66600</v>
      </c>
      <c r="E80" s="31">
        <f t="shared" si="0"/>
        <v>0</v>
      </c>
      <c r="F80" s="38"/>
      <c r="G80" s="38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34">
        <v>71</v>
      </c>
      <c r="B81" s="35" t="s">
        <v>90</v>
      </c>
      <c r="C81" s="39">
        <v>3</v>
      </c>
      <c r="D81" s="37">
        <v>7770</v>
      </c>
      <c r="E81" s="31">
        <f t="shared" si="0"/>
        <v>23310</v>
      </c>
      <c r="F81" s="38"/>
      <c r="G81" s="38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34">
        <v>72</v>
      </c>
      <c r="B82" s="35" t="s">
        <v>91</v>
      </c>
      <c r="C82" s="39">
        <v>2</v>
      </c>
      <c r="D82" s="37">
        <v>13208</v>
      </c>
      <c r="E82" s="31">
        <f t="shared" si="0"/>
        <v>26416</v>
      </c>
      <c r="F82" s="38"/>
      <c r="G82" s="38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34">
        <v>73</v>
      </c>
      <c r="B83" s="35" t="s">
        <v>92</v>
      </c>
      <c r="C83" s="36">
        <v>0</v>
      </c>
      <c r="D83" s="37">
        <v>160950</v>
      </c>
      <c r="E83" s="31">
        <f t="shared" si="0"/>
        <v>0</v>
      </c>
      <c r="F83" s="38"/>
      <c r="G83" s="38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34">
        <v>74</v>
      </c>
      <c r="B84" s="35" t="s">
        <v>93</v>
      </c>
      <c r="C84" s="36">
        <v>0</v>
      </c>
      <c r="D84" s="37">
        <v>177600</v>
      </c>
      <c r="E84" s="31">
        <f t="shared" si="0"/>
        <v>0</v>
      </c>
      <c r="F84" s="38"/>
      <c r="G84" s="38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34">
        <v>75</v>
      </c>
      <c r="B85" s="35" t="s">
        <v>94</v>
      </c>
      <c r="C85" s="36">
        <v>0</v>
      </c>
      <c r="D85" s="37">
        <v>4218</v>
      </c>
      <c r="E85" s="31">
        <f t="shared" si="0"/>
        <v>0</v>
      </c>
      <c r="F85" s="38"/>
      <c r="G85" s="38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34">
        <v>76</v>
      </c>
      <c r="B86" s="35" t="s">
        <v>95</v>
      </c>
      <c r="C86" s="36">
        <v>1</v>
      </c>
      <c r="D86" s="37">
        <v>8880</v>
      </c>
      <c r="E86" s="31">
        <f t="shared" si="0"/>
        <v>8880</v>
      </c>
      <c r="F86" s="38"/>
      <c r="G86" s="38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34">
        <v>77</v>
      </c>
      <c r="B87" s="35" t="s">
        <v>96</v>
      </c>
      <c r="C87" s="36">
        <v>0</v>
      </c>
      <c r="D87" s="37">
        <v>32190</v>
      </c>
      <c r="E87" s="31">
        <f t="shared" si="0"/>
        <v>0</v>
      </c>
      <c r="F87" s="38"/>
      <c r="G87" s="38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34">
        <v>78</v>
      </c>
      <c r="B88" s="35" t="s">
        <v>97</v>
      </c>
      <c r="C88" s="36">
        <v>0</v>
      </c>
      <c r="D88" s="37">
        <v>16262</v>
      </c>
      <c r="E88" s="31">
        <f t="shared" si="0"/>
        <v>0</v>
      </c>
      <c r="F88" s="38"/>
      <c r="G88" s="38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34">
        <v>79</v>
      </c>
      <c r="B89" s="35" t="s">
        <v>98</v>
      </c>
      <c r="C89" s="36">
        <v>0</v>
      </c>
      <c r="D89" s="37">
        <v>3885</v>
      </c>
      <c r="E89" s="31">
        <f t="shared" si="0"/>
        <v>0</v>
      </c>
      <c r="F89" s="38"/>
      <c r="G89" s="38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34">
        <v>80</v>
      </c>
      <c r="B90" s="35" t="s">
        <v>99</v>
      </c>
      <c r="C90" s="36">
        <v>0</v>
      </c>
      <c r="D90" s="37">
        <v>149850</v>
      </c>
      <c r="E90" s="31">
        <f t="shared" si="0"/>
        <v>0</v>
      </c>
      <c r="F90" s="38"/>
      <c r="G90" s="38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34">
        <v>81</v>
      </c>
      <c r="B91" s="35" t="s">
        <v>100</v>
      </c>
      <c r="C91" s="36">
        <v>1</v>
      </c>
      <c r="D91" s="37">
        <v>11100</v>
      </c>
      <c r="E91" s="31">
        <f t="shared" si="0"/>
        <v>11100</v>
      </c>
      <c r="F91" s="38"/>
      <c r="G91" s="38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34">
        <v>82</v>
      </c>
      <c r="B92" s="35" t="s">
        <v>101</v>
      </c>
      <c r="C92" s="36">
        <v>0</v>
      </c>
      <c r="D92" s="37">
        <v>10545</v>
      </c>
      <c r="E92" s="31">
        <f t="shared" si="0"/>
        <v>0</v>
      </c>
      <c r="F92" s="38"/>
      <c r="G92" s="38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34">
        <v>83</v>
      </c>
      <c r="B93" s="35" t="s">
        <v>102</v>
      </c>
      <c r="C93" s="36">
        <v>0</v>
      </c>
      <c r="D93" s="37">
        <v>16095</v>
      </c>
      <c r="E93" s="31">
        <f t="shared" si="0"/>
        <v>0</v>
      </c>
      <c r="F93" s="38"/>
      <c r="G93" s="38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34">
        <v>85</v>
      </c>
      <c r="B94" s="44" t="s">
        <v>103</v>
      </c>
      <c r="C94" s="36">
        <v>0</v>
      </c>
      <c r="D94" s="45">
        <v>34535</v>
      </c>
      <c r="E94" s="31">
        <f t="shared" si="0"/>
        <v>0</v>
      </c>
      <c r="F94" s="38"/>
      <c r="G94" s="38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34">
        <v>86</v>
      </c>
      <c r="B95" s="44" t="s">
        <v>104</v>
      </c>
      <c r="C95" s="36">
        <v>0</v>
      </c>
      <c r="D95" s="45">
        <v>248021</v>
      </c>
      <c r="E95" s="31">
        <f t="shared" si="0"/>
        <v>0</v>
      </c>
      <c r="F95" s="38"/>
      <c r="G95" s="38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34">
        <v>87</v>
      </c>
      <c r="B96" s="44" t="s">
        <v>105</v>
      </c>
      <c r="C96" s="36">
        <v>0</v>
      </c>
      <c r="D96" s="45">
        <v>188370</v>
      </c>
      <c r="E96" s="31">
        <f t="shared" si="0"/>
        <v>0</v>
      </c>
      <c r="F96" s="38"/>
      <c r="G96" s="38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34">
        <v>88</v>
      </c>
      <c r="B97" s="44" t="s">
        <v>106</v>
      </c>
      <c r="C97" s="36">
        <v>0</v>
      </c>
      <c r="D97" s="45">
        <v>63398</v>
      </c>
      <c r="E97" s="31">
        <f t="shared" si="0"/>
        <v>0</v>
      </c>
      <c r="F97" s="38"/>
      <c r="G97" s="38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34">
        <v>89</v>
      </c>
      <c r="B98" s="44" t="s">
        <v>107</v>
      </c>
      <c r="C98" s="36">
        <v>1</v>
      </c>
      <c r="D98" s="45">
        <v>42753</v>
      </c>
      <c r="E98" s="31">
        <f t="shared" si="0"/>
        <v>42753</v>
      </c>
      <c r="F98" s="38"/>
      <c r="G98" s="38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34">
        <v>90</v>
      </c>
      <c r="B99" s="44" t="s">
        <v>108</v>
      </c>
      <c r="C99" s="36">
        <v>0</v>
      </c>
      <c r="D99" s="45">
        <v>92929</v>
      </c>
      <c r="E99" s="31">
        <f t="shared" si="0"/>
        <v>0</v>
      </c>
      <c r="F99" s="38"/>
      <c r="G99" s="38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34">
        <v>91</v>
      </c>
      <c r="B100" s="44" t="s">
        <v>109</v>
      </c>
      <c r="C100" s="36">
        <v>0</v>
      </c>
      <c r="D100" s="45">
        <v>92929</v>
      </c>
      <c r="E100" s="31">
        <f t="shared" si="0"/>
        <v>0</v>
      </c>
      <c r="F100" s="38"/>
      <c r="G100" s="38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34">
        <v>92</v>
      </c>
      <c r="B101" s="44" t="s">
        <v>110</v>
      </c>
      <c r="C101" s="36">
        <v>0</v>
      </c>
      <c r="D101" s="45">
        <v>92929</v>
      </c>
      <c r="E101" s="31">
        <f t="shared" si="0"/>
        <v>0</v>
      </c>
      <c r="F101" s="38"/>
      <c r="G101" s="38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34">
        <v>93</v>
      </c>
      <c r="B102" s="44" t="s">
        <v>111</v>
      </c>
      <c r="C102" s="36">
        <v>1</v>
      </c>
      <c r="D102" s="45">
        <v>125000</v>
      </c>
      <c r="E102" s="31">
        <f t="shared" si="0"/>
        <v>125000</v>
      </c>
      <c r="F102" s="38"/>
      <c r="G102" s="38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34">
        <v>94</v>
      </c>
      <c r="B103" s="44" t="s">
        <v>112</v>
      </c>
      <c r="C103" s="36">
        <v>0</v>
      </c>
      <c r="D103" s="45">
        <v>662745</v>
      </c>
      <c r="E103" s="31">
        <f t="shared" si="0"/>
        <v>0</v>
      </c>
      <c r="F103" s="38"/>
      <c r="G103" s="38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34">
        <v>95</v>
      </c>
      <c r="B104" s="44" t="s">
        <v>113</v>
      </c>
      <c r="C104" s="36">
        <v>0</v>
      </c>
      <c r="D104" s="45">
        <v>20407</v>
      </c>
      <c r="E104" s="31">
        <f t="shared" si="0"/>
        <v>0</v>
      </c>
      <c r="F104" s="38"/>
      <c r="G104" s="38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34">
        <v>96</v>
      </c>
      <c r="B105" s="44" t="s">
        <v>114</v>
      </c>
      <c r="C105" s="36">
        <v>0</v>
      </c>
      <c r="D105" s="45">
        <v>62715</v>
      </c>
      <c r="E105" s="31">
        <f t="shared" si="0"/>
        <v>0</v>
      </c>
      <c r="F105" s="38"/>
      <c r="G105" s="38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34">
        <v>97</v>
      </c>
      <c r="B106" s="44" t="s">
        <v>115</v>
      </c>
      <c r="C106" s="36">
        <v>0</v>
      </c>
      <c r="D106" s="45">
        <v>266500</v>
      </c>
      <c r="E106" s="31">
        <f t="shared" si="0"/>
        <v>0</v>
      </c>
      <c r="F106" s="38"/>
      <c r="G106" s="38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34">
        <v>98</v>
      </c>
      <c r="B107" s="44" t="s">
        <v>116</v>
      </c>
      <c r="C107" s="36">
        <v>0</v>
      </c>
      <c r="D107" s="45">
        <v>200140</v>
      </c>
      <c r="E107" s="31">
        <f t="shared" si="0"/>
        <v>0</v>
      </c>
      <c r="F107" s="38"/>
      <c r="G107" s="38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34">
        <v>99</v>
      </c>
      <c r="B108" s="44" t="s">
        <v>117</v>
      </c>
      <c r="C108" s="36">
        <v>0</v>
      </c>
      <c r="D108" s="45">
        <v>12558</v>
      </c>
      <c r="E108" s="31">
        <f t="shared" si="0"/>
        <v>0</v>
      </c>
      <c r="F108" s="38"/>
      <c r="G108" s="38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34">
        <v>100</v>
      </c>
      <c r="B109" s="44" t="s">
        <v>118</v>
      </c>
      <c r="C109" s="36">
        <v>0</v>
      </c>
      <c r="D109" s="46">
        <v>114085</v>
      </c>
      <c r="E109" s="31">
        <f t="shared" si="0"/>
        <v>0</v>
      </c>
      <c r="F109" s="38"/>
      <c r="G109" s="38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34">
        <v>101</v>
      </c>
      <c r="B110" s="44" t="s">
        <v>119</v>
      </c>
      <c r="C110" s="36">
        <v>0</v>
      </c>
      <c r="D110" s="46">
        <v>114085</v>
      </c>
      <c r="E110" s="31">
        <f t="shared" si="0"/>
        <v>0</v>
      </c>
      <c r="F110" s="38"/>
      <c r="G110" s="38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34">
        <v>102</v>
      </c>
      <c r="B111" s="44" t="s">
        <v>120</v>
      </c>
      <c r="C111" s="36">
        <v>0</v>
      </c>
      <c r="D111" s="46">
        <v>114085</v>
      </c>
      <c r="E111" s="31">
        <f t="shared" si="0"/>
        <v>0</v>
      </c>
      <c r="F111" s="38"/>
      <c r="G111" s="38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34">
        <v>103</v>
      </c>
      <c r="B112" s="44" t="s">
        <v>121</v>
      </c>
      <c r="C112" s="36">
        <v>0</v>
      </c>
      <c r="D112" s="46">
        <v>114085</v>
      </c>
      <c r="E112" s="31">
        <f t="shared" si="0"/>
        <v>0</v>
      </c>
      <c r="F112" s="38"/>
      <c r="G112" s="38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34">
        <v>104</v>
      </c>
      <c r="B113" s="44" t="s">
        <v>122</v>
      </c>
      <c r="C113" s="36">
        <v>0</v>
      </c>
      <c r="D113" s="46">
        <v>197340</v>
      </c>
      <c r="E113" s="31">
        <f t="shared" si="0"/>
        <v>0</v>
      </c>
      <c r="F113" s="38"/>
      <c r="G113" s="38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34">
        <v>105</v>
      </c>
      <c r="B114" s="44" t="s">
        <v>123</v>
      </c>
      <c r="C114" s="36">
        <v>0</v>
      </c>
      <c r="D114" s="46">
        <v>197340</v>
      </c>
      <c r="E114" s="31">
        <f t="shared" si="0"/>
        <v>0</v>
      </c>
      <c r="F114" s="38"/>
      <c r="G114" s="38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34">
        <v>106</v>
      </c>
      <c r="B115" s="44" t="s">
        <v>124</v>
      </c>
      <c r="C115" s="36">
        <v>2</v>
      </c>
      <c r="D115" s="46">
        <v>10118</v>
      </c>
      <c r="E115" s="31">
        <f t="shared" si="0"/>
        <v>20236</v>
      </c>
      <c r="F115" s="38"/>
      <c r="G115" s="38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34">
        <v>107</v>
      </c>
      <c r="B116" s="44" t="s">
        <v>125</v>
      </c>
      <c r="C116" s="36">
        <v>2</v>
      </c>
      <c r="D116" s="46">
        <v>10118</v>
      </c>
      <c r="E116" s="31">
        <f t="shared" si="0"/>
        <v>20236</v>
      </c>
      <c r="F116" s="38"/>
      <c r="G116" s="38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34">
        <v>108</v>
      </c>
      <c r="B117" s="44" t="s">
        <v>126</v>
      </c>
      <c r="C117" s="36">
        <v>0</v>
      </c>
      <c r="D117" s="46">
        <v>8634</v>
      </c>
      <c r="E117" s="31">
        <f t="shared" si="0"/>
        <v>0</v>
      </c>
      <c r="F117" s="38"/>
      <c r="G117" s="38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34">
        <v>109</v>
      </c>
      <c r="B118" s="44" t="s">
        <v>127</v>
      </c>
      <c r="C118" s="36">
        <v>0</v>
      </c>
      <c r="D118" s="46">
        <v>8634</v>
      </c>
      <c r="E118" s="31">
        <f t="shared" si="0"/>
        <v>0</v>
      </c>
      <c r="F118" s="38"/>
      <c r="G118" s="38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34">
        <v>110</v>
      </c>
      <c r="B119" s="44" t="s">
        <v>128</v>
      </c>
      <c r="C119" s="36">
        <v>0</v>
      </c>
      <c r="D119" s="46">
        <v>210000</v>
      </c>
      <c r="E119" s="31">
        <f t="shared" si="0"/>
        <v>0</v>
      </c>
      <c r="F119" s="38"/>
      <c r="G119" s="38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34">
        <v>111</v>
      </c>
      <c r="B120" s="35" t="s">
        <v>129</v>
      </c>
      <c r="C120" s="36">
        <v>3</v>
      </c>
      <c r="D120" s="37">
        <v>88800</v>
      </c>
      <c r="E120" s="31">
        <f t="shared" si="0"/>
        <v>266400</v>
      </c>
      <c r="F120" s="38"/>
      <c r="G120" s="38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34">
        <v>112</v>
      </c>
      <c r="B121" s="35" t="s">
        <v>130</v>
      </c>
      <c r="C121" s="36">
        <v>3</v>
      </c>
      <c r="D121" s="37">
        <v>88800</v>
      </c>
      <c r="E121" s="31">
        <f t="shared" si="0"/>
        <v>266400</v>
      </c>
      <c r="F121" s="38"/>
      <c r="G121" s="38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34">
        <v>113</v>
      </c>
      <c r="B122" s="35" t="s">
        <v>131</v>
      </c>
      <c r="C122" s="36">
        <v>3</v>
      </c>
      <c r="D122" s="37">
        <v>88800</v>
      </c>
      <c r="E122" s="31">
        <f t="shared" si="0"/>
        <v>266400</v>
      </c>
      <c r="F122" s="38"/>
      <c r="G122" s="38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34">
        <v>114</v>
      </c>
      <c r="B123" s="35" t="s">
        <v>132</v>
      </c>
      <c r="C123" s="36">
        <v>3</v>
      </c>
      <c r="D123" s="37">
        <v>88800</v>
      </c>
      <c r="E123" s="31">
        <f t="shared" si="0"/>
        <v>266400</v>
      </c>
      <c r="F123" s="38"/>
      <c r="G123" s="38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34">
        <v>115</v>
      </c>
      <c r="B124" s="35" t="s">
        <v>133</v>
      </c>
      <c r="C124" s="36">
        <v>2</v>
      </c>
      <c r="D124" s="37">
        <v>95460</v>
      </c>
      <c r="E124" s="31">
        <f t="shared" si="0"/>
        <v>190920</v>
      </c>
      <c r="F124" s="38"/>
      <c r="G124" s="38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34">
        <v>116</v>
      </c>
      <c r="B125" s="35" t="s">
        <v>134</v>
      </c>
      <c r="C125" s="36">
        <v>2</v>
      </c>
      <c r="D125" s="37">
        <v>96570</v>
      </c>
      <c r="E125" s="31">
        <f t="shared" si="0"/>
        <v>193140</v>
      </c>
      <c r="F125" s="38"/>
      <c r="G125" s="38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34">
        <v>117</v>
      </c>
      <c r="B126" s="35" t="s">
        <v>135</v>
      </c>
      <c r="C126" s="36">
        <v>2</v>
      </c>
      <c r="D126" s="37">
        <v>96570</v>
      </c>
      <c r="E126" s="31">
        <f t="shared" si="0"/>
        <v>193140</v>
      </c>
      <c r="F126" s="38"/>
      <c r="G126" s="38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34">
        <v>118</v>
      </c>
      <c r="B127" s="35" t="s">
        <v>136</v>
      </c>
      <c r="C127" s="36">
        <v>2</v>
      </c>
      <c r="D127" s="37">
        <v>96570</v>
      </c>
      <c r="E127" s="31">
        <f t="shared" si="0"/>
        <v>193140</v>
      </c>
      <c r="F127" s="38"/>
      <c r="G127" s="38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34">
        <v>119</v>
      </c>
      <c r="B128" s="35" t="s">
        <v>137</v>
      </c>
      <c r="C128" s="39">
        <v>0</v>
      </c>
      <c r="D128" s="37">
        <v>577200</v>
      </c>
      <c r="E128" s="31">
        <f t="shared" si="0"/>
        <v>0</v>
      </c>
      <c r="F128" s="38"/>
      <c r="G128" s="38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34">
        <v>120</v>
      </c>
      <c r="B129" s="35" t="s">
        <v>138</v>
      </c>
      <c r="C129" s="39">
        <v>0</v>
      </c>
      <c r="D129" s="37">
        <v>154290</v>
      </c>
      <c r="E129" s="31">
        <f t="shared" si="0"/>
        <v>0</v>
      </c>
      <c r="F129" s="38"/>
      <c r="G129" s="38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34">
        <v>121</v>
      </c>
      <c r="B130" s="35" t="s">
        <v>139</v>
      </c>
      <c r="C130" s="39">
        <v>0</v>
      </c>
      <c r="D130" s="37">
        <v>143190</v>
      </c>
      <c r="E130" s="31">
        <f t="shared" si="0"/>
        <v>0</v>
      </c>
      <c r="F130" s="38"/>
      <c r="G130" s="38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34">
        <v>122</v>
      </c>
      <c r="B131" s="35" t="s">
        <v>140</v>
      </c>
      <c r="C131" s="39">
        <v>0</v>
      </c>
      <c r="D131" s="37">
        <v>147075</v>
      </c>
      <c r="E131" s="31">
        <f t="shared" si="0"/>
        <v>0</v>
      </c>
      <c r="F131" s="38"/>
      <c r="G131" s="38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34">
        <v>123</v>
      </c>
      <c r="B132" s="35" t="s">
        <v>141</v>
      </c>
      <c r="C132" s="39">
        <v>0</v>
      </c>
      <c r="D132" s="37">
        <v>327450</v>
      </c>
      <c r="E132" s="31">
        <f t="shared" si="0"/>
        <v>0</v>
      </c>
      <c r="F132" s="38"/>
      <c r="G132" s="38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34">
        <v>124</v>
      </c>
      <c r="B133" s="35" t="s">
        <v>142</v>
      </c>
      <c r="C133" s="39">
        <v>0</v>
      </c>
      <c r="D133" s="37">
        <v>149850</v>
      </c>
      <c r="E133" s="31">
        <f t="shared" si="0"/>
        <v>0</v>
      </c>
      <c r="F133" s="38"/>
      <c r="G133" s="38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34">
        <v>125</v>
      </c>
      <c r="B134" s="35" t="s">
        <v>143</v>
      </c>
      <c r="C134" s="39">
        <v>0</v>
      </c>
      <c r="D134" s="37">
        <v>158397</v>
      </c>
      <c r="E134" s="31">
        <f t="shared" si="0"/>
        <v>0</v>
      </c>
      <c r="F134" s="38"/>
      <c r="G134" s="38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34">
        <v>126</v>
      </c>
      <c r="B135" s="47" t="s">
        <v>144</v>
      </c>
      <c r="C135" s="36">
        <v>0</v>
      </c>
      <c r="D135" s="37">
        <v>1720500</v>
      </c>
      <c r="E135" s="31">
        <f t="shared" si="0"/>
        <v>0</v>
      </c>
      <c r="F135" s="38"/>
      <c r="G135" s="38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34">
        <v>127</v>
      </c>
      <c r="B136" s="35" t="s">
        <v>145</v>
      </c>
      <c r="C136" s="36">
        <v>0</v>
      </c>
      <c r="D136" s="37">
        <v>1154400</v>
      </c>
      <c r="E136" s="31">
        <f t="shared" si="0"/>
        <v>0</v>
      </c>
      <c r="F136" s="38"/>
      <c r="G136" s="38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34">
        <v>128</v>
      </c>
      <c r="B137" s="35" t="s">
        <v>146</v>
      </c>
      <c r="C137" s="36">
        <v>0</v>
      </c>
      <c r="D137" s="37">
        <v>954600</v>
      </c>
      <c r="E137" s="31">
        <f t="shared" si="0"/>
        <v>0</v>
      </c>
      <c r="F137" s="38"/>
      <c r="G137" s="38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34">
        <v>129</v>
      </c>
      <c r="B138" s="35" t="s">
        <v>147</v>
      </c>
      <c r="C138" s="36">
        <v>0</v>
      </c>
      <c r="D138" s="37">
        <v>997890</v>
      </c>
      <c r="E138" s="31">
        <f t="shared" si="0"/>
        <v>0</v>
      </c>
      <c r="F138" s="38"/>
      <c r="G138" s="38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34">
        <v>130</v>
      </c>
      <c r="B139" s="35" t="s">
        <v>148</v>
      </c>
      <c r="C139" s="36">
        <v>0</v>
      </c>
      <c r="D139" s="37">
        <v>1010100</v>
      </c>
      <c r="E139" s="31">
        <f t="shared" si="0"/>
        <v>0</v>
      </c>
      <c r="F139" s="38"/>
      <c r="G139" s="38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34">
        <v>131</v>
      </c>
      <c r="B140" s="35" t="s">
        <v>149</v>
      </c>
      <c r="C140" s="36">
        <v>0</v>
      </c>
      <c r="D140" s="37">
        <v>1010100</v>
      </c>
      <c r="E140" s="31">
        <f t="shared" si="0"/>
        <v>0</v>
      </c>
      <c r="F140" s="38"/>
      <c r="G140" s="38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34">
        <v>132</v>
      </c>
      <c r="B141" s="35" t="s">
        <v>150</v>
      </c>
      <c r="C141" s="36">
        <v>0</v>
      </c>
      <c r="D141" s="37">
        <v>133200</v>
      </c>
      <c r="E141" s="31">
        <f t="shared" si="0"/>
        <v>0</v>
      </c>
      <c r="F141" s="38"/>
      <c r="G141" s="38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34">
        <v>133</v>
      </c>
      <c r="B142" s="35" t="s">
        <v>151</v>
      </c>
      <c r="C142" s="36">
        <v>0</v>
      </c>
      <c r="D142" s="48">
        <v>133200</v>
      </c>
      <c r="E142" s="31">
        <f t="shared" si="0"/>
        <v>0</v>
      </c>
      <c r="F142" s="38"/>
      <c r="G142" s="38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34">
        <v>134</v>
      </c>
      <c r="B143" s="35" t="s">
        <v>152</v>
      </c>
      <c r="C143" s="36">
        <v>0</v>
      </c>
      <c r="D143" s="37">
        <v>133200</v>
      </c>
      <c r="E143" s="31">
        <f t="shared" si="0"/>
        <v>0</v>
      </c>
      <c r="F143" s="38"/>
      <c r="G143" s="38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34">
        <v>135</v>
      </c>
      <c r="B144" s="35" t="s">
        <v>153</v>
      </c>
      <c r="C144" s="36">
        <v>0</v>
      </c>
      <c r="D144" s="37">
        <v>133200</v>
      </c>
      <c r="E144" s="31">
        <f t="shared" si="0"/>
        <v>0</v>
      </c>
      <c r="F144" s="38"/>
      <c r="G144" s="38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34">
        <v>136</v>
      </c>
      <c r="B145" s="35" t="s">
        <v>154</v>
      </c>
      <c r="C145" s="36">
        <v>0</v>
      </c>
      <c r="D145" s="37">
        <v>205350</v>
      </c>
      <c r="E145" s="31">
        <f t="shared" si="0"/>
        <v>0</v>
      </c>
      <c r="F145" s="38"/>
      <c r="G145" s="38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34">
        <v>137</v>
      </c>
      <c r="B146" s="35" t="s">
        <v>155</v>
      </c>
      <c r="C146" s="36">
        <v>0</v>
      </c>
      <c r="D146" s="37">
        <v>183150</v>
      </c>
      <c r="E146" s="31">
        <f t="shared" si="0"/>
        <v>0</v>
      </c>
      <c r="F146" s="38"/>
      <c r="G146" s="38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34">
        <v>138</v>
      </c>
      <c r="B147" s="35" t="s">
        <v>156</v>
      </c>
      <c r="C147" s="36">
        <v>0</v>
      </c>
      <c r="D147" s="37">
        <v>288600</v>
      </c>
      <c r="E147" s="31">
        <f t="shared" si="0"/>
        <v>0</v>
      </c>
      <c r="F147" s="38"/>
      <c r="G147" s="38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34">
        <v>139</v>
      </c>
      <c r="B148" s="35" t="s">
        <v>157</v>
      </c>
      <c r="C148" s="36">
        <v>0</v>
      </c>
      <c r="D148" s="37">
        <v>788100</v>
      </c>
      <c r="E148" s="31">
        <f t="shared" si="0"/>
        <v>0</v>
      </c>
      <c r="F148" s="38"/>
      <c r="G148" s="38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34">
        <v>140</v>
      </c>
      <c r="B149" s="35" t="s">
        <v>158</v>
      </c>
      <c r="C149" s="36">
        <v>0</v>
      </c>
      <c r="D149" s="37">
        <v>144300</v>
      </c>
      <c r="E149" s="31">
        <f t="shared" si="0"/>
        <v>0</v>
      </c>
      <c r="F149" s="38"/>
      <c r="G149" s="38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34">
        <v>141</v>
      </c>
      <c r="B150" s="35" t="s">
        <v>159</v>
      </c>
      <c r="C150" s="36">
        <v>0</v>
      </c>
      <c r="D150" s="37">
        <v>144300</v>
      </c>
      <c r="E150" s="31">
        <f t="shared" si="0"/>
        <v>0</v>
      </c>
      <c r="F150" s="38"/>
      <c r="G150" s="38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34">
        <v>142</v>
      </c>
      <c r="B151" s="35" t="s">
        <v>160</v>
      </c>
      <c r="C151" s="36">
        <v>0</v>
      </c>
      <c r="D151" s="37">
        <v>144300</v>
      </c>
      <c r="E151" s="31">
        <f t="shared" si="0"/>
        <v>0</v>
      </c>
      <c r="F151" s="38"/>
      <c r="G151" s="38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34">
        <v>143</v>
      </c>
      <c r="B152" s="35" t="s">
        <v>161</v>
      </c>
      <c r="C152" s="36">
        <v>0</v>
      </c>
      <c r="D152" s="37">
        <v>144300</v>
      </c>
      <c r="E152" s="31">
        <f t="shared" si="0"/>
        <v>0</v>
      </c>
      <c r="F152" s="38"/>
      <c r="G152" s="38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9"/>
      <c r="B153" s="49"/>
      <c r="C153" s="50" t="s">
        <v>21</v>
      </c>
      <c r="D153" s="51">
        <f>SUM(D12:D152)</f>
        <v>18653365</v>
      </c>
      <c r="E153" s="51">
        <v>7059078</v>
      </c>
      <c r="F153" s="49"/>
      <c r="G153" s="49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52"/>
      <c r="C154" s="53" t="s">
        <v>21</v>
      </c>
      <c r="D154" s="53"/>
      <c r="E154" s="53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54" t="s">
        <v>162</v>
      </c>
      <c r="C155" s="49"/>
      <c r="D155" s="49"/>
      <c r="E155" s="4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54" t="s">
        <v>163</v>
      </c>
      <c r="C156" s="49"/>
      <c r="D156" s="49"/>
      <c r="E156" s="54" t="s">
        <v>164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9"/>
      <c r="C157" s="49"/>
      <c r="D157" s="49"/>
      <c r="E157" s="4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9"/>
      <c r="C158" s="49"/>
      <c r="D158" s="49"/>
      <c r="E158" s="4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9"/>
      <c r="C159" s="49"/>
      <c r="D159" s="49"/>
      <c r="E159" s="4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9"/>
      <c r="C160" s="49"/>
      <c r="D160" s="49"/>
      <c r="E160" s="4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55" t="s">
        <v>165</v>
      </c>
      <c r="C161" s="49"/>
      <c r="D161" s="49"/>
      <c r="E161" s="54" t="s">
        <v>166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54" t="s">
        <v>167</v>
      </c>
      <c r="C162" s="49"/>
      <c r="D162" s="49"/>
      <c r="E162" s="54" t="s">
        <v>168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52"/>
      <c r="C163" s="53"/>
      <c r="D163" s="53"/>
      <c r="E163" s="53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52"/>
      <c r="C164" s="53"/>
      <c r="D164" s="53"/>
      <c r="E164" s="53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52"/>
      <c r="C165" s="53"/>
      <c r="D165" s="53"/>
      <c r="E165" s="53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52"/>
      <c r="C166" s="53"/>
      <c r="D166" s="53"/>
      <c r="E166" s="53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52"/>
      <c r="C167" s="53"/>
      <c r="D167" s="53"/>
      <c r="E167" s="53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52"/>
      <c r="C168" s="53"/>
      <c r="D168" s="53"/>
      <c r="E168" s="53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52"/>
      <c r="C169" s="53"/>
      <c r="D169" s="53"/>
      <c r="E169" s="53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52"/>
      <c r="C170" s="53"/>
      <c r="D170" s="53"/>
      <c r="E170" s="53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52"/>
      <c r="C171" s="53"/>
      <c r="D171" s="53"/>
      <c r="E171" s="53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52"/>
      <c r="C172" s="53"/>
      <c r="D172" s="53"/>
      <c r="E172" s="53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52"/>
      <c r="C173" s="53"/>
      <c r="D173" s="53"/>
      <c r="E173" s="53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52"/>
      <c r="C174" s="53"/>
      <c r="D174" s="53"/>
      <c r="E174" s="53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52"/>
      <c r="C175" s="53"/>
      <c r="D175" s="53"/>
      <c r="E175" s="53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52"/>
      <c r="C176" s="53"/>
      <c r="D176" s="53"/>
      <c r="E176" s="53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52"/>
      <c r="C177" s="53"/>
      <c r="D177" s="53"/>
      <c r="E177" s="53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52"/>
      <c r="C178" s="53"/>
      <c r="D178" s="53"/>
      <c r="E178" s="53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52"/>
      <c r="C179" s="53"/>
      <c r="D179" s="53"/>
      <c r="E179" s="53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52"/>
      <c r="C180" s="53"/>
      <c r="D180" s="53"/>
      <c r="E180" s="53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52"/>
      <c r="C181" s="53"/>
      <c r="D181" s="53"/>
      <c r="E181" s="53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52"/>
      <c r="C182" s="53"/>
      <c r="D182" s="53"/>
      <c r="E182" s="53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52"/>
      <c r="C183" s="53"/>
      <c r="D183" s="53"/>
      <c r="E183" s="53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52"/>
      <c r="C184" s="53"/>
      <c r="D184" s="53"/>
      <c r="E184" s="53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52"/>
      <c r="C185" s="53"/>
      <c r="D185" s="53"/>
      <c r="E185" s="53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52"/>
      <c r="C186" s="53"/>
      <c r="D186" s="53"/>
      <c r="E186" s="53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52"/>
      <c r="C187" s="53"/>
      <c r="D187" s="53"/>
      <c r="E187" s="53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52"/>
      <c r="C188" s="53"/>
      <c r="D188" s="53"/>
      <c r="E188" s="53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52"/>
      <c r="C189" s="53"/>
      <c r="D189" s="53"/>
      <c r="E189" s="53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52"/>
      <c r="C190" s="53"/>
      <c r="D190" s="53"/>
      <c r="E190" s="53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52"/>
      <c r="C191" s="53"/>
      <c r="D191" s="53"/>
      <c r="E191" s="53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52"/>
      <c r="C192" s="53"/>
      <c r="D192" s="53"/>
      <c r="E192" s="53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52"/>
      <c r="C193" s="53"/>
      <c r="D193" s="53"/>
      <c r="E193" s="53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52"/>
      <c r="C194" s="53"/>
      <c r="D194" s="53"/>
      <c r="E194" s="53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52"/>
      <c r="C195" s="53"/>
      <c r="D195" s="53"/>
      <c r="E195" s="53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52"/>
      <c r="C196" s="53"/>
      <c r="D196" s="53"/>
      <c r="E196" s="53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52"/>
      <c r="C197" s="53"/>
      <c r="D197" s="53"/>
      <c r="E197" s="53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52"/>
      <c r="C198" s="53"/>
      <c r="D198" s="53"/>
      <c r="E198" s="53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52"/>
      <c r="C199" s="53"/>
      <c r="D199" s="53"/>
      <c r="E199" s="53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52"/>
      <c r="C200" s="53"/>
      <c r="D200" s="53"/>
      <c r="E200" s="53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52"/>
      <c r="C201" s="53"/>
      <c r="D201" s="53"/>
      <c r="E201" s="53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52"/>
      <c r="C202" s="53"/>
      <c r="D202" s="53"/>
      <c r="E202" s="53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52"/>
      <c r="C203" s="53"/>
      <c r="D203" s="53"/>
      <c r="E203" s="53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52"/>
      <c r="C204" s="53"/>
      <c r="D204" s="53"/>
      <c r="E204" s="53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52"/>
      <c r="C205" s="53"/>
      <c r="D205" s="53"/>
      <c r="E205" s="53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52"/>
      <c r="C206" s="53"/>
      <c r="D206" s="53"/>
      <c r="E206" s="53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52"/>
      <c r="C207" s="53"/>
      <c r="D207" s="53"/>
      <c r="E207" s="53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52"/>
      <c r="C208" s="53"/>
      <c r="D208" s="53"/>
      <c r="E208" s="53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52"/>
      <c r="C209" s="53"/>
      <c r="D209" s="53"/>
      <c r="E209" s="53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52"/>
      <c r="C210" s="53"/>
      <c r="D210" s="53"/>
      <c r="E210" s="53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52"/>
      <c r="C211" s="53"/>
      <c r="D211" s="53"/>
      <c r="E211" s="53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52"/>
      <c r="C212" s="53"/>
      <c r="D212" s="53"/>
      <c r="E212" s="53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52"/>
      <c r="C213" s="53"/>
      <c r="D213" s="53"/>
      <c r="E213" s="53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52"/>
      <c r="C214" s="53"/>
      <c r="D214" s="53"/>
      <c r="E214" s="53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52"/>
      <c r="C215" s="53"/>
      <c r="D215" s="53"/>
      <c r="E215" s="53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52"/>
      <c r="C216" s="53"/>
      <c r="D216" s="53"/>
      <c r="E216" s="53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52"/>
      <c r="C217" s="53"/>
      <c r="D217" s="53"/>
      <c r="E217" s="53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52"/>
      <c r="C218" s="53"/>
      <c r="D218" s="53"/>
      <c r="E218" s="53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52"/>
      <c r="C219" s="53"/>
      <c r="D219" s="53"/>
      <c r="E219" s="53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52"/>
      <c r="C220" s="53"/>
      <c r="D220" s="53"/>
      <c r="E220" s="53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52"/>
      <c r="C221" s="53"/>
      <c r="D221" s="53"/>
      <c r="E221" s="53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52"/>
      <c r="C222" s="53"/>
      <c r="D222" s="53"/>
      <c r="E222" s="53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52"/>
      <c r="C223" s="53"/>
      <c r="D223" s="53"/>
      <c r="E223" s="53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52"/>
      <c r="C224" s="53"/>
      <c r="D224" s="53"/>
      <c r="E224" s="53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52"/>
      <c r="C225" s="53"/>
      <c r="D225" s="53"/>
      <c r="E225" s="53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52"/>
      <c r="C226" s="53"/>
      <c r="D226" s="53"/>
      <c r="E226" s="53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52"/>
      <c r="C227" s="53"/>
      <c r="D227" s="53"/>
      <c r="E227" s="53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52"/>
      <c r="C228" s="53"/>
      <c r="D228" s="53"/>
      <c r="E228" s="53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52"/>
      <c r="C229" s="53"/>
      <c r="D229" s="53"/>
      <c r="E229" s="53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52"/>
      <c r="C230" s="53"/>
      <c r="D230" s="53"/>
      <c r="E230" s="53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52"/>
      <c r="C231" s="53"/>
      <c r="D231" s="53"/>
      <c r="E231" s="53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52"/>
      <c r="C232" s="53"/>
      <c r="D232" s="53"/>
      <c r="E232" s="53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52"/>
      <c r="C233" s="53"/>
      <c r="D233" s="53"/>
      <c r="E233" s="53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52"/>
      <c r="C234" s="53"/>
      <c r="D234" s="53"/>
      <c r="E234" s="53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52"/>
      <c r="C235" s="53"/>
      <c r="D235" s="53"/>
      <c r="E235" s="53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52"/>
      <c r="C236" s="53"/>
      <c r="D236" s="53"/>
      <c r="E236" s="53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52"/>
      <c r="C237" s="53"/>
      <c r="D237" s="53"/>
      <c r="E237" s="53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52"/>
      <c r="C238" s="53"/>
      <c r="D238" s="53"/>
      <c r="E238" s="53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52"/>
      <c r="C239" s="53"/>
      <c r="D239" s="53"/>
      <c r="E239" s="53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52"/>
      <c r="C240" s="53"/>
      <c r="D240" s="53"/>
      <c r="E240" s="53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52"/>
      <c r="C241" s="53"/>
      <c r="D241" s="53"/>
      <c r="E241" s="53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52"/>
      <c r="C242" s="53"/>
      <c r="D242" s="53"/>
      <c r="E242" s="53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52"/>
      <c r="C243" s="53"/>
      <c r="D243" s="53"/>
      <c r="E243" s="53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52"/>
      <c r="C244" s="53"/>
      <c r="D244" s="53"/>
      <c r="E244" s="53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52"/>
      <c r="C245" s="53"/>
      <c r="D245" s="53"/>
      <c r="E245" s="53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52"/>
      <c r="C246" s="53"/>
      <c r="D246" s="53"/>
      <c r="E246" s="53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52"/>
      <c r="C247" s="53"/>
      <c r="D247" s="53"/>
      <c r="E247" s="53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52"/>
      <c r="C248" s="53"/>
      <c r="D248" s="53"/>
      <c r="E248" s="53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52"/>
      <c r="C249" s="53"/>
      <c r="D249" s="53"/>
      <c r="E249" s="53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52"/>
      <c r="C250" s="53"/>
      <c r="D250" s="53"/>
      <c r="E250" s="53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52"/>
      <c r="C251" s="53"/>
      <c r="D251" s="53"/>
      <c r="E251" s="53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52"/>
      <c r="C252" s="53"/>
      <c r="D252" s="53"/>
      <c r="E252" s="53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52"/>
      <c r="C253" s="53"/>
      <c r="D253" s="53"/>
      <c r="E253" s="53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52"/>
      <c r="C254" s="53"/>
      <c r="D254" s="53"/>
      <c r="E254" s="53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52"/>
      <c r="C255" s="53"/>
      <c r="D255" s="53"/>
      <c r="E255" s="53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52"/>
      <c r="C256" s="53"/>
      <c r="D256" s="53"/>
      <c r="E256" s="53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52"/>
      <c r="C257" s="53"/>
      <c r="D257" s="53"/>
      <c r="E257" s="53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52"/>
      <c r="C258" s="53"/>
      <c r="D258" s="53"/>
      <c r="E258" s="53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52"/>
      <c r="C259" s="53"/>
      <c r="D259" s="53"/>
      <c r="E259" s="53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52"/>
      <c r="C260" s="53"/>
      <c r="D260" s="53"/>
      <c r="E260" s="53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52"/>
      <c r="C261" s="53"/>
      <c r="D261" s="53"/>
      <c r="E261" s="53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52"/>
      <c r="C262" s="53"/>
      <c r="D262" s="53"/>
      <c r="E262" s="53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52"/>
      <c r="C263" s="53"/>
      <c r="D263" s="53"/>
      <c r="E263" s="53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52"/>
      <c r="C264" s="53"/>
      <c r="D264" s="53"/>
      <c r="E264" s="53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52"/>
      <c r="C265" s="53"/>
      <c r="D265" s="53"/>
      <c r="E265" s="53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52"/>
      <c r="C266" s="53"/>
      <c r="D266" s="53"/>
      <c r="E266" s="53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52"/>
      <c r="C267" s="53"/>
      <c r="D267" s="53"/>
      <c r="E267" s="53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52"/>
      <c r="C268" s="53"/>
      <c r="D268" s="53"/>
      <c r="E268" s="53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52"/>
      <c r="C269" s="53"/>
      <c r="D269" s="53"/>
      <c r="E269" s="53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52"/>
      <c r="C270" s="53"/>
      <c r="D270" s="53"/>
      <c r="E270" s="53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52"/>
      <c r="C271" s="53"/>
      <c r="D271" s="53"/>
      <c r="E271" s="53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52"/>
      <c r="C272" s="53"/>
      <c r="D272" s="53"/>
      <c r="E272" s="53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52"/>
      <c r="C273" s="53"/>
      <c r="D273" s="53"/>
      <c r="E273" s="53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52"/>
      <c r="C274" s="53"/>
      <c r="D274" s="53"/>
      <c r="E274" s="53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52"/>
      <c r="C275" s="53"/>
      <c r="D275" s="53"/>
      <c r="E275" s="53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52"/>
      <c r="C276" s="53"/>
      <c r="D276" s="53"/>
      <c r="E276" s="53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52"/>
      <c r="C277" s="53"/>
      <c r="D277" s="53"/>
      <c r="E277" s="53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52"/>
      <c r="C278" s="53"/>
      <c r="D278" s="53"/>
      <c r="E278" s="53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52"/>
      <c r="C279" s="53"/>
      <c r="D279" s="53"/>
      <c r="E279" s="53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52"/>
      <c r="C280" s="53"/>
      <c r="D280" s="53"/>
      <c r="E280" s="53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52"/>
      <c r="C281" s="53"/>
      <c r="D281" s="53"/>
      <c r="E281" s="53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52"/>
      <c r="C282" s="53"/>
      <c r="D282" s="53"/>
      <c r="E282" s="53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52"/>
      <c r="C283" s="53"/>
      <c r="D283" s="53"/>
      <c r="E283" s="53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52"/>
      <c r="C284" s="53"/>
      <c r="D284" s="53"/>
      <c r="E284" s="53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52"/>
      <c r="C285" s="53"/>
      <c r="D285" s="53"/>
      <c r="E285" s="53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52"/>
      <c r="C286" s="53"/>
      <c r="D286" s="53"/>
      <c r="E286" s="53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52"/>
      <c r="C287" s="53"/>
      <c r="D287" s="53"/>
      <c r="E287" s="53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52"/>
      <c r="C288" s="53"/>
      <c r="D288" s="53"/>
      <c r="E288" s="53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52"/>
      <c r="C289" s="53"/>
      <c r="D289" s="53"/>
      <c r="E289" s="53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52"/>
      <c r="C290" s="53"/>
      <c r="D290" s="53"/>
      <c r="E290" s="53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52"/>
      <c r="C291" s="53"/>
      <c r="D291" s="53"/>
      <c r="E291" s="53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52"/>
      <c r="C292" s="53"/>
      <c r="D292" s="53"/>
      <c r="E292" s="53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52"/>
      <c r="C293" s="53"/>
      <c r="D293" s="53"/>
      <c r="E293" s="53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52"/>
      <c r="C294" s="53"/>
      <c r="D294" s="53"/>
      <c r="E294" s="53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52"/>
      <c r="C295" s="53"/>
      <c r="D295" s="53"/>
      <c r="E295" s="53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52"/>
      <c r="C296" s="53"/>
      <c r="D296" s="53"/>
      <c r="E296" s="53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52"/>
      <c r="C297" s="53"/>
      <c r="D297" s="53"/>
      <c r="E297" s="53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52"/>
      <c r="C298" s="53"/>
      <c r="D298" s="53"/>
      <c r="E298" s="53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52"/>
      <c r="C299" s="53"/>
      <c r="D299" s="53"/>
      <c r="E299" s="53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52"/>
      <c r="C300" s="53"/>
      <c r="D300" s="53"/>
      <c r="E300" s="53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52"/>
      <c r="C301" s="53"/>
      <c r="D301" s="53"/>
      <c r="E301" s="53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52"/>
      <c r="C302" s="53"/>
      <c r="D302" s="53"/>
      <c r="E302" s="53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52"/>
      <c r="C303" s="53"/>
      <c r="D303" s="53"/>
      <c r="E303" s="53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52"/>
      <c r="C304" s="53"/>
      <c r="D304" s="53"/>
      <c r="E304" s="53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52"/>
      <c r="C305" s="53"/>
      <c r="D305" s="53"/>
      <c r="E305" s="53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52"/>
      <c r="C306" s="53"/>
      <c r="D306" s="53"/>
      <c r="E306" s="53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52"/>
      <c r="C307" s="53"/>
      <c r="D307" s="53"/>
      <c r="E307" s="53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52"/>
      <c r="C308" s="53"/>
      <c r="D308" s="53"/>
      <c r="E308" s="53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52"/>
      <c r="C309" s="53"/>
      <c r="D309" s="53"/>
      <c r="E309" s="53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52"/>
      <c r="C310" s="53"/>
      <c r="D310" s="53"/>
      <c r="E310" s="53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52"/>
      <c r="C311" s="53"/>
      <c r="D311" s="53"/>
      <c r="E311" s="53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52"/>
      <c r="C312" s="53"/>
      <c r="D312" s="53"/>
      <c r="E312" s="53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52"/>
      <c r="C313" s="53"/>
      <c r="D313" s="53"/>
      <c r="E313" s="53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52"/>
      <c r="C314" s="53"/>
      <c r="D314" s="53"/>
      <c r="E314" s="53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52"/>
      <c r="C315" s="53"/>
      <c r="D315" s="53"/>
      <c r="E315" s="53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52"/>
      <c r="C316" s="53"/>
      <c r="D316" s="53"/>
      <c r="E316" s="53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52"/>
      <c r="C317" s="53"/>
      <c r="D317" s="53"/>
      <c r="E317" s="53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52"/>
      <c r="C318" s="53"/>
      <c r="D318" s="53"/>
      <c r="E318" s="53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52"/>
      <c r="C319" s="53"/>
      <c r="D319" s="53"/>
      <c r="E319" s="53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52"/>
      <c r="C320" s="53"/>
      <c r="D320" s="53"/>
      <c r="E320" s="53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52"/>
      <c r="C321" s="53"/>
      <c r="D321" s="53"/>
      <c r="E321" s="53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52"/>
      <c r="C322" s="53"/>
      <c r="D322" s="53"/>
      <c r="E322" s="53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52"/>
      <c r="C323" s="53"/>
      <c r="D323" s="53"/>
      <c r="E323" s="53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52"/>
      <c r="C324" s="53"/>
      <c r="D324" s="53"/>
      <c r="E324" s="53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52"/>
      <c r="C325" s="53"/>
      <c r="D325" s="53"/>
      <c r="E325" s="53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52"/>
      <c r="C326" s="53"/>
      <c r="D326" s="53"/>
      <c r="E326" s="53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52"/>
      <c r="C327" s="53"/>
      <c r="D327" s="53"/>
      <c r="E327" s="53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52"/>
      <c r="C328" s="53"/>
      <c r="D328" s="53"/>
      <c r="E328" s="53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52"/>
      <c r="C329" s="53"/>
      <c r="D329" s="53"/>
      <c r="E329" s="53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52"/>
      <c r="C330" s="53"/>
      <c r="D330" s="53"/>
      <c r="E330" s="53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52"/>
      <c r="C331" s="53"/>
      <c r="D331" s="53"/>
      <c r="E331" s="53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52"/>
      <c r="C332" s="53"/>
      <c r="D332" s="53"/>
      <c r="E332" s="53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52"/>
      <c r="C333" s="53"/>
      <c r="D333" s="53"/>
      <c r="E333" s="53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52"/>
      <c r="C334" s="53"/>
      <c r="D334" s="53"/>
      <c r="E334" s="53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52"/>
      <c r="C335" s="53"/>
      <c r="D335" s="53"/>
      <c r="E335" s="53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52"/>
      <c r="C336" s="53"/>
      <c r="D336" s="53"/>
      <c r="E336" s="53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52"/>
      <c r="C337" s="53"/>
      <c r="D337" s="53"/>
      <c r="E337" s="53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52"/>
      <c r="C338" s="53"/>
      <c r="D338" s="53"/>
      <c r="E338" s="53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52"/>
      <c r="C339" s="53"/>
      <c r="D339" s="53"/>
      <c r="E339" s="53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52"/>
      <c r="C340" s="53"/>
      <c r="D340" s="53"/>
      <c r="E340" s="53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52"/>
      <c r="C341" s="53"/>
      <c r="D341" s="53"/>
      <c r="E341" s="53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52"/>
      <c r="C342" s="53"/>
      <c r="D342" s="53"/>
      <c r="E342" s="53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52"/>
      <c r="C343" s="53"/>
      <c r="D343" s="53"/>
      <c r="E343" s="53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52"/>
      <c r="C344" s="53"/>
      <c r="D344" s="53"/>
      <c r="E344" s="53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52"/>
      <c r="C345" s="53"/>
      <c r="D345" s="53"/>
      <c r="E345" s="53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52"/>
      <c r="C346" s="53"/>
      <c r="D346" s="53"/>
      <c r="E346" s="53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52"/>
      <c r="C347" s="53"/>
      <c r="D347" s="53"/>
      <c r="E347" s="53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52"/>
      <c r="C348" s="53"/>
      <c r="D348" s="53"/>
      <c r="E348" s="53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52"/>
      <c r="C349" s="53"/>
      <c r="D349" s="53"/>
      <c r="E349" s="53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52"/>
      <c r="C350" s="53"/>
      <c r="D350" s="53"/>
      <c r="E350" s="53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52"/>
      <c r="C351" s="53"/>
      <c r="D351" s="53"/>
      <c r="E351" s="53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52"/>
      <c r="C352" s="53"/>
      <c r="D352" s="53"/>
      <c r="E352" s="53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52"/>
      <c r="C353" s="53"/>
      <c r="D353" s="53"/>
      <c r="E353" s="53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52"/>
      <c r="C354" s="53"/>
      <c r="D354" s="53"/>
      <c r="E354" s="53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52"/>
      <c r="C355" s="53"/>
      <c r="D355" s="53"/>
      <c r="E355" s="53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52"/>
      <c r="C356" s="53"/>
      <c r="D356" s="53"/>
      <c r="E356" s="53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52"/>
      <c r="C357" s="53"/>
      <c r="D357" s="53"/>
      <c r="E357" s="53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52"/>
      <c r="C358" s="53"/>
      <c r="D358" s="53"/>
      <c r="E358" s="53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52"/>
      <c r="C359" s="53"/>
      <c r="D359" s="53"/>
      <c r="E359" s="53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52"/>
      <c r="C360" s="53"/>
      <c r="D360" s="53"/>
      <c r="E360" s="53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52"/>
      <c r="C361" s="53"/>
      <c r="D361" s="53"/>
      <c r="E361" s="53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52"/>
      <c r="C362" s="53"/>
      <c r="D362" s="53"/>
      <c r="E362" s="53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/>
    <row r="364" spans="1:26" ht="15.75" customHeight="1"/>
    <row r="365" spans="1:26" ht="15.75" customHeight="1"/>
    <row r="366" spans="1:26" ht="15.75" customHeight="1"/>
    <row r="367" spans="1:26" ht="15.75" customHeight="1"/>
    <row r="368" spans="1:26" ht="15.75" customHeight="1"/>
    <row r="369" customFormat="1" ht="15.75" customHeight="1"/>
    <row r="370" customFormat="1" ht="15.75" customHeight="1"/>
    <row r="371" customFormat="1" ht="15.75" customHeight="1"/>
    <row r="372" customFormat="1" ht="15.75" customHeight="1"/>
    <row r="373" customFormat="1" ht="15.75" customHeight="1"/>
    <row r="374" customFormat="1" ht="15.75" customHeight="1"/>
    <row r="375" customFormat="1" ht="15.75" customHeight="1"/>
    <row r="376" customFormat="1" ht="15.75" customHeight="1"/>
    <row r="377" customFormat="1" ht="15.75" customHeight="1"/>
    <row r="378" customFormat="1" ht="15.75" customHeight="1"/>
    <row r="379" customFormat="1" ht="15.75" customHeight="1"/>
    <row r="380" customFormat="1" ht="15.75" customHeight="1"/>
    <row r="381" customFormat="1" ht="15.75" customHeight="1"/>
    <row r="382" customFormat="1" ht="15.75" customHeight="1"/>
    <row r="383" customFormat="1" ht="15.75" customHeight="1"/>
    <row r="384" customFormat="1" ht="15.75" customHeight="1"/>
    <row r="385" customFormat="1" ht="15.75" customHeight="1"/>
    <row r="386" customFormat="1" ht="15.75" customHeight="1"/>
    <row r="387" customFormat="1" ht="15.75" customHeight="1"/>
    <row r="388" customFormat="1" ht="15.75" customHeight="1"/>
    <row r="389" customFormat="1" ht="15.75" customHeight="1"/>
    <row r="390" customFormat="1" ht="15.75" customHeight="1"/>
    <row r="391" customFormat="1" ht="15.75" customHeight="1"/>
    <row r="392" customFormat="1" ht="15.75" customHeight="1"/>
    <row r="393" customFormat="1" ht="15.75" customHeight="1"/>
    <row r="394" customFormat="1" ht="15.75" customHeight="1"/>
    <row r="395" customFormat="1" ht="15.75" customHeight="1"/>
    <row r="396" customFormat="1" ht="15.75" customHeight="1"/>
    <row r="397" customFormat="1" ht="15.75" customHeight="1"/>
    <row r="398" customFormat="1" ht="15.75" customHeight="1"/>
    <row r="399" customFormat="1" ht="15.75" customHeight="1"/>
    <row r="400" customFormat="1" ht="15.75" customHeight="1"/>
    <row r="401" customFormat="1" ht="15.75" customHeight="1"/>
    <row r="402" customFormat="1" ht="15.75" customHeight="1"/>
    <row r="403" customFormat="1" ht="15.75" customHeight="1"/>
    <row r="404" customFormat="1" ht="15.75" customHeight="1"/>
    <row r="405" customFormat="1" ht="15.75" customHeight="1"/>
    <row r="406" customFormat="1" ht="15.75" customHeight="1"/>
    <row r="407" customFormat="1" ht="15.75" customHeight="1"/>
    <row r="408" customFormat="1" ht="15.75" customHeight="1"/>
    <row r="409" customFormat="1" ht="15.75" customHeight="1"/>
    <row r="410" customFormat="1" ht="15.75" customHeight="1"/>
    <row r="411" customFormat="1" ht="15.75" customHeight="1"/>
    <row r="412" customFormat="1" ht="15.75" customHeight="1"/>
    <row r="413" customFormat="1" ht="15.75" customHeight="1"/>
    <row r="414" customFormat="1" ht="15.75" customHeight="1"/>
    <row r="415" customFormat="1" ht="15.75" customHeight="1"/>
    <row r="416" customFormat="1" ht="15.75" customHeight="1"/>
    <row r="417" customFormat="1" ht="15.75" customHeight="1"/>
    <row r="418" customFormat="1" ht="15.75" customHeight="1"/>
    <row r="419" customFormat="1" ht="15.75" customHeight="1"/>
    <row r="420" customFormat="1" ht="15.75" customHeight="1"/>
    <row r="421" customFormat="1" ht="15.75" customHeight="1"/>
    <row r="422" customFormat="1" ht="15.75" customHeight="1"/>
    <row r="423" customFormat="1" ht="15.75" customHeight="1"/>
    <row r="424" customFormat="1" ht="15.75" customHeight="1"/>
    <row r="425" customFormat="1" ht="15.75" customHeight="1"/>
    <row r="426" customFormat="1" ht="15.75" customHeight="1"/>
    <row r="427" customFormat="1" ht="15.75" customHeight="1"/>
    <row r="428" customFormat="1" ht="15.75" customHeight="1"/>
    <row r="429" customFormat="1" ht="15.75" customHeight="1"/>
    <row r="430" customFormat="1" ht="15.75" customHeight="1"/>
    <row r="431" customFormat="1" ht="15.75" customHeight="1"/>
    <row r="432" customFormat="1" ht="15.75" customHeight="1"/>
    <row r="433" customFormat="1" ht="15.75" customHeight="1"/>
    <row r="434" customFormat="1" ht="15.75" customHeight="1"/>
    <row r="435" customFormat="1" ht="15.75" customHeight="1"/>
    <row r="436" customFormat="1" ht="15.75" customHeight="1"/>
    <row r="437" customFormat="1" ht="15.75" customHeight="1"/>
    <row r="438" customFormat="1" ht="15.75" customHeight="1"/>
    <row r="439" customFormat="1" ht="15.75" customHeight="1"/>
    <row r="440" customFormat="1" ht="15.75" customHeight="1"/>
    <row r="441" customFormat="1" ht="15.75" customHeight="1"/>
    <row r="442" customFormat="1" ht="15.75" customHeight="1"/>
    <row r="443" customFormat="1" ht="15.75" customHeight="1"/>
    <row r="444" customFormat="1" ht="15.75" customHeight="1"/>
    <row r="445" customFormat="1" ht="15.75" customHeight="1"/>
    <row r="446" customFormat="1" ht="15.75" customHeight="1"/>
    <row r="447" customFormat="1" ht="15.75" customHeight="1"/>
    <row r="448" customFormat="1" ht="15.75" customHeight="1"/>
    <row r="449" customFormat="1" ht="15.75" customHeight="1"/>
    <row r="450" customFormat="1" ht="15.75" customHeight="1"/>
    <row r="451" customFormat="1" ht="15.75" customHeight="1"/>
    <row r="452" customFormat="1" ht="15.75" customHeight="1"/>
    <row r="453" customFormat="1" ht="15.75" customHeight="1"/>
    <row r="454" customFormat="1" ht="15.75" customHeight="1"/>
    <row r="455" customFormat="1" ht="15.75" customHeight="1"/>
    <row r="456" customFormat="1" ht="15.75" customHeight="1"/>
    <row r="457" customFormat="1" ht="15.75" customHeight="1"/>
    <row r="458" customFormat="1" ht="15.75" customHeight="1"/>
    <row r="459" customFormat="1" ht="15.75" customHeight="1"/>
    <row r="460" customFormat="1" ht="15.75" customHeight="1"/>
    <row r="461" customFormat="1" ht="15.75" customHeight="1"/>
    <row r="462" customFormat="1" ht="15.75" customHeight="1"/>
    <row r="463" customFormat="1" ht="15.75" customHeight="1"/>
    <row r="464" customFormat="1" ht="15.75" customHeight="1"/>
    <row r="465" customFormat="1" ht="15.75" customHeight="1"/>
    <row r="466" customFormat="1" ht="15.75" customHeight="1"/>
    <row r="467" customFormat="1" ht="15.75" customHeight="1"/>
    <row r="468" customFormat="1" ht="15.75" customHeight="1"/>
    <row r="469" customFormat="1" ht="15.75" customHeight="1"/>
    <row r="470" customFormat="1" ht="15.75" customHeight="1"/>
    <row r="471" customFormat="1" ht="15.75" customHeight="1"/>
    <row r="472" customFormat="1" ht="15.75" customHeight="1"/>
    <row r="473" customFormat="1" ht="15.75" customHeight="1"/>
    <row r="474" customFormat="1" ht="15.75" customHeight="1"/>
    <row r="475" customFormat="1" ht="15.75" customHeight="1"/>
    <row r="476" customFormat="1" ht="15.75" customHeight="1"/>
    <row r="477" customFormat="1" ht="15.75" customHeight="1"/>
    <row r="478" customFormat="1" ht="15.75" customHeight="1"/>
    <row r="479" customFormat="1" ht="15.75" customHeight="1"/>
    <row r="480" customFormat="1" ht="15.75" customHeight="1"/>
    <row r="481" customFormat="1" ht="15.75" customHeight="1"/>
    <row r="482" customFormat="1" ht="15.75" customHeight="1"/>
    <row r="483" customFormat="1" ht="15.75" customHeight="1"/>
    <row r="484" customFormat="1" ht="15.75" customHeight="1"/>
    <row r="485" customFormat="1" ht="15.75" customHeight="1"/>
    <row r="486" customFormat="1" ht="15.75" customHeight="1"/>
    <row r="487" customFormat="1" ht="15.75" customHeight="1"/>
    <row r="488" customFormat="1" ht="15.75" customHeight="1"/>
    <row r="489" customFormat="1" ht="15.75" customHeight="1"/>
    <row r="490" customFormat="1" ht="15.75" customHeight="1"/>
    <row r="491" customFormat="1" ht="15.75" customHeight="1"/>
    <row r="492" customFormat="1" ht="15.75" customHeight="1"/>
    <row r="493" customFormat="1" ht="15.75" customHeight="1"/>
    <row r="494" customFormat="1" ht="15.75" customHeight="1"/>
    <row r="495" customFormat="1" ht="15.75" customHeight="1"/>
    <row r="496" customFormat="1" ht="15.75" customHeight="1"/>
    <row r="497" customFormat="1" ht="15.75" customHeight="1"/>
    <row r="498" customFormat="1" ht="15.75" customHeight="1"/>
    <row r="499" customFormat="1" ht="15.75" customHeight="1"/>
    <row r="500" customFormat="1" ht="15.75" customHeight="1"/>
    <row r="501" customFormat="1" ht="15.75" customHeight="1"/>
    <row r="502" customFormat="1" ht="15.75" customHeight="1"/>
    <row r="503" customFormat="1" ht="15.75" customHeight="1"/>
    <row r="504" customFormat="1" ht="15.75" customHeight="1"/>
    <row r="505" customFormat="1" ht="15.75" customHeight="1"/>
    <row r="506" customFormat="1" ht="15.75" customHeight="1"/>
    <row r="507" customFormat="1" ht="15.75" customHeight="1"/>
    <row r="508" customFormat="1" ht="15.75" customHeight="1"/>
    <row r="509" customFormat="1" ht="15.75" customHeight="1"/>
    <row r="510" customFormat="1" ht="15.75" customHeight="1"/>
    <row r="511" customFormat="1" ht="15.75" customHeight="1"/>
    <row r="512" customFormat="1" ht="15.75" customHeight="1"/>
    <row r="513" customFormat="1" ht="15.75" customHeight="1"/>
    <row r="514" customFormat="1" ht="15.75" customHeight="1"/>
    <row r="515" customFormat="1" ht="15.75" customHeight="1"/>
    <row r="516" customFormat="1" ht="15.75" customHeight="1"/>
    <row r="517" customFormat="1" ht="15.75" customHeight="1"/>
    <row r="518" customFormat="1" ht="15.75" customHeight="1"/>
    <row r="519" customFormat="1" ht="15.75" customHeight="1"/>
    <row r="520" customFormat="1" ht="15.75" customHeight="1"/>
    <row r="521" customFormat="1" ht="15.75" customHeight="1"/>
    <row r="522" customFormat="1" ht="15.75" customHeight="1"/>
    <row r="523" customFormat="1" ht="15.75" customHeight="1"/>
    <row r="524" customFormat="1" ht="15.75" customHeight="1"/>
    <row r="525" customFormat="1" ht="15.75" customHeight="1"/>
    <row r="526" customFormat="1" ht="15.75" customHeight="1"/>
    <row r="527" customFormat="1" ht="15.75" customHeight="1"/>
    <row r="528" customFormat="1" ht="15.75" customHeight="1"/>
    <row r="529" customFormat="1" ht="15.75" customHeight="1"/>
    <row r="530" customFormat="1" ht="15.75" customHeight="1"/>
    <row r="531" customFormat="1" ht="15.75" customHeight="1"/>
    <row r="532" customFormat="1" ht="15.75" customHeight="1"/>
    <row r="533" customFormat="1" ht="15.75" customHeight="1"/>
    <row r="534" customFormat="1" ht="15.75" customHeight="1"/>
    <row r="535" customFormat="1" ht="15.75" customHeight="1"/>
    <row r="536" customFormat="1" ht="15.75" customHeight="1"/>
    <row r="537" customFormat="1" ht="15.75" customHeight="1"/>
    <row r="538" customFormat="1" ht="15.75" customHeight="1"/>
    <row r="539" customFormat="1" ht="15.75" customHeight="1"/>
    <row r="540" customFormat="1" ht="15.75" customHeight="1"/>
    <row r="541" customFormat="1" ht="15.75" customHeight="1"/>
    <row r="542" customFormat="1" ht="15.75" customHeight="1"/>
    <row r="543" customFormat="1" ht="15.75" customHeight="1"/>
    <row r="544" customFormat="1" ht="15.75" customHeight="1"/>
    <row r="545" customFormat="1" ht="15.75" customHeight="1"/>
    <row r="546" customFormat="1" ht="15.75" customHeight="1"/>
    <row r="547" customFormat="1" ht="15.75" customHeight="1"/>
    <row r="548" customFormat="1" ht="15.75" customHeight="1"/>
    <row r="549" customFormat="1" ht="15.75" customHeight="1"/>
    <row r="550" customFormat="1" ht="15.75" customHeight="1"/>
    <row r="551" customFormat="1" ht="15.75" customHeight="1"/>
    <row r="552" customFormat="1" ht="15.75" customHeight="1"/>
    <row r="553" customFormat="1" ht="15.75" customHeight="1"/>
    <row r="554" customFormat="1" ht="15.75" customHeight="1"/>
    <row r="555" customFormat="1" ht="15.75" customHeight="1"/>
    <row r="556" customFormat="1" ht="15.75" customHeight="1"/>
    <row r="557" customFormat="1" ht="15.75" customHeight="1"/>
    <row r="558" customFormat="1" ht="15.75" customHeight="1"/>
    <row r="559" customFormat="1" ht="15.75" customHeight="1"/>
    <row r="560" customFormat="1" ht="15.75" customHeight="1"/>
    <row r="561" customFormat="1" ht="15.75" customHeight="1"/>
    <row r="562" customFormat="1" ht="15.75" customHeight="1"/>
    <row r="563" customFormat="1" ht="15.75" customHeight="1"/>
    <row r="564" customFormat="1" ht="15.75" customHeight="1"/>
    <row r="565" customFormat="1" ht="15.75" customHeight="1"/>
    <row r="566" customFormat="1" ht="15.75" customHeight="1"/>
    <row r="567" customFormat="1" ht="15.75" customHeight="1"/>
    <row r="568" customFormat="1" ht="15.75" customHeight="1"/>
    <row r="569" customFormat="1" ht="15.75" customHeight="1"/>
    <row r="570" customFormat="1" ht="15.75" customHeight="1"/>
    <row r="571" customFormat="1" ht="15.75" customHeight="1"/>
    <row r="572" customFormat="1" ht="15.75" customHeight="1"/>
    <row r="573" customFormat="1" ht="15.75" customHeight="1"/>
    <row r="574" customFormat="1" ht="15.75" customHeight="1"/>
    <row r="575" customFormat="1" ht="15.75" customHeight="1"/>
    <row r="576" customFormat="1" ht="15.75" customHeight="1"/>
    <row r="577" customFormat="1" ht="15.75" customHeight="1"/>
    <row r="578" customFormat="1" ht="15.75" customHeight="1"/>
    <row r="579" customFormat="1" ht="15.75" customHeight="1"/>
    <row r="580" customFormat="1" ht="15.75" customHeight="1"/>
    <row r="581" customFormat="1" ht="15.75" customHeight="1"/>
    <row r="582" customFormat="1" ht="15.75" customHeight="1"/>
    <row r="583" customFormat="1" ht="15.75" customHeight="1"/>
    <row r="584" customFormat="1" ht="15.75" customHeight="1"/>
    <row r="585" customFormat="1" ht="15.75" customHeight="1"/>
    <row r="586" customFormat="1" ht="15.75" customHeight="1"/>
    <row r="587" customFormat="1" ht="15.75" customHeight="1"/>
    <row r="588" customFormat="1" ht="15.75" customHeight="1"/>
    <row r="589" customFormat="1" ht="15.75" customHeight="1"/>
    <row r="590" customFormat="1" ht="15.75" customHeight="1"/>
    <row r="591" customFormat="1" ht="15.75" customHeight="1"/>
    <row r="592" customFormat="1" ht="15.75" customHeight="1"/>
    <row r="593" customFormat="1" ht="15.75" customHeight="1"/>
    <row r="594" customFormat="1" ht="15.75" customHeight="1"/>
    <row r="595" customFormat="1" ht="15.75" customHeight="1"/>
    <row r="596" customFormat="1" ht="15.75" customHeight="1"/>
    <row r="597" customFormat="1" ht="15.75" customHeight="1"/>
    <row r="598" customFormat="1" ht="15.75" customHeight="1"/>
    <row r="599" customFormat="1" ht="15.75" customHeight="1"/>
    <row r="600" customFormat="1" ht="15.75" customHeight="1"/>
    <row r="601" customFormat="1" ht="15.75" customHeight="1"/>
    <row r="602" customFormat="1" ht="15.75" customHeight="1"/>
    <row r="603" customFormat="1" ht="15.75" customHeight="1"/>
    <row r="604" customFormat="1" ht="15.75" customHeight="1"/>
    <row r="605" customFormat="1" ht="15.75" customHeight="1"/>
    <row r="606" customFormat="1" ht="15.75" customHeight="1"/>
    <row r="607" customFormat="1" ht="15.75" customHeight="1"/>
    <row r="608" customFormat="1" ht="15.75" customHeight="1"/>
    <row r="609" customFormat="1" ht="15.75" customHeight="1"/>
    <row r="610" customFormat="1" ht="15.75" customHeight="1"/>
    <row r="611" customFormat="1" ht="15.75" customHeight="1"/>
    <row r="612" customFormat="1" ht="15.75" customHeight="1"/>
    <row r="613" customFormat="1" ht="15.75" customHeight="1"/>
    <row r="614" customFormat="1" ht="15.75" customHeight="1"/>
    <row r="615" customFormat="1" ht="15.75" customHeight="1"/>
    <row r="616" customFormat="1" ht="15.75" customHeight="1"/>
    <row r="617" customFormat="1" ht="15.75" customHeight="1"/>
    <row r="618" customFormat="1" ht="15.75" customHeight="1"/>
    <row r="619" customFormat="1" ht="15.75" customHeight="1"/>
    <row r="620" customFormat="1" ht="15.75" customHeight="1"/>
    <row r="621" customFormat="1" ht="15.75" customHeight="1"/>
    <row r="622" customFormat="1" ht="15.75" customHeight="1"/>
    <row r="623" customFormat="1" ht="15.75" customHeight="1"/>
    <row r="624" customFormat="1" ht="15.75" customHeight="1"/>
    <row r="625" customFormat="1" ht="15.75" customHeight="1"/>
    <row r="626" customFormat="1" ht="15.75" customHeight="1"/>
    <row r="627" customFormat="1" ht="15.75" customHeight="1"/>
    <row r="628" customFormat="1" ht="15.75" customHeight="1"/>
    <row r="629" customFormat="1" ht="15.75" customHeight="1"/>
    <row r="630" customFormat="1" ht="15.75" customHeight="1"/>
    <row r="631" customFormat="1" ht="15.75" customHeight="1"/>
    <row r="632" customFormat="1" ht="15.75" customHeight="1"/>
    <row r="633" customFormat="1" ht="15.75" customHeight="1"/>
    <row r="634" customFormat="1" ht="15.75" customHeight="1"/>
    <row r="635" customFormat="1" ht="15.75" customHeight="1"/>
    <row r="636" customFormat="1" ht="15.75" customHeight="1"/>
    <row r="637" customFormat="1" ht="15.75" customHeight="1"/>
    <row r="638" customFormat="1" ht="15.75" customHeight="1"/>
    <row r="639" customFormat="1" ht="15.75" customHeight="1"/>
    <row r="640" customFormat="1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  <row r="781" customFormat="1" ht="15.75" customHeight="1"/>
    <row r="782" customFormat="1" ht="15.75" customHeight="1"/>
    <row r="783" customFormat="1" ht="15.75" customHeight="1"/>
    <row r="784" customFormat="1" ht="15.75" customHeight="1"/>
    <row r="785" customFormat="1" ht="15.75" customHeight="1"/>
    <row r="786" customFormat="1" ht="15.75" customHeight="1"/>
    <row r="787" customFormat="1" ht="15.75" customHeight="1"/>
    <row r="788" customFormat="1" ht="15.75" customHeight="1"/>
    <row r="789" customFormat="1" ht="15.75" customHeight="1"/>
    <row r="790" customFormat="1" ht="15.75" customHeight="1"/>
    <row r="791" customFormat="1" ht="15.75" customHeight="1"/>
    <row r="792" customFormat="1" ht="15.75" customHeight="1"/>
    <row r="793" customFormat="1" ht="15.75" customHeight="1"/>
    <row r="794" customFormat="1" ht="15.75" customHeight="1"/>
    <row r="795" customFormat="1" ht="15.75" customHeight="1"/>
    <row r="796" customFormat="1" ht="15.75" customHeight="1"/>
    <row r="797" customFormat="1" ht="15.75" customHeight="1"/>
    <row r="798" customFormat="1" ht="15.75" customHeight="1"/>
    <row r="799" customFormat="1" ht="15.75" customHeight="1"/>
    <row r="800" customFormat="1" ht="15.75" customHeight="1"/>
    <row r="801" customFormat="1" ht="15.75" customHeight="1"/>
    <row r="802" customFormat="1" ht="15.75" customHeight="1"/>
    <row r="803" customFormat="1" ht="15.75" customHeight="1"/>
    <row r="804" customFormat="1" ht="15.75" customHeight="1"/>
    <row r="805" customFormat="1" ht="15.75" customHeight="1"/>
    <row r="806" customFormat="1" ht="15.75" customHeight="1"/>
    <row r="807" customFormat="1" ht="15.75" customHeight="1"/>
    <row r="808" customFormat="1" ht="15.75" customHeight="1"/>
    <row r="809" customFormat="1" ht="15.75" customHeight="1"/>
    <row r="810" customFormat="1" ht="15.75" customHeight="1"/>
    <row r="811" customFormat="1" ht="15.75" customHeight="1"/>
    <row r="812" customFormat="1" ht="15.75" customHeight="1"/>
    <row r="813" customFormat="1" ht="15.75" customHeight="1"/>
    <row r="814" customFormat="1" ht="15.75" customHeight="1"/>
    <row r="815" customFormat="1" ht="15.75" customHeight="1"/>
    <row r="816" customFormat="1" ht="15.75" customHeight="1"/>
    <row r="817" customFormat="1" ht="15.75" customHeight="1"/>
    <row r="818" customFormat="1" ht="15.75" customHeight="1"/>
    <row r="819" customFormat="1" ht="15.75" customHeight="1"/>
    <row r="820" customFormat="1" ht="15.75" customHeight="1"/>
    <row r="821" customFormat="1" ht="15.75" customHeight="1"/>
    <row r="822" customFormat="1" ht="15.75" customHeight="1"/>
    <row r="823" customFormat="1" ht="15.75" customHeight="1"/>
    <row r="824" customFormat="1" ht="15.75" customHeight="1"/>
    <row r="825" customFormat="1" ht="15.75" customHeight="1"/>
    <row r="826" customFormat="1" ht="15.75" customHeight="1"/>
    <row r="827" customFormat="1" ht="15.75" customHeight="1"/>
    <row r="828" customFormat="1" ht="15.75" customHeight="1"/>
    <row r="829" customFormat="1" ht="15.75" customHeight="1"/>
    <row r="830" customFormat="1" ht="15.75" customHeight="1"/>
    <row r="831" customFormat="1" ht="15.75" customHeight="1"/>
    <row r="832" customFormat="1" ht="15.75" customHeight="1"/>
    <row r="833" customFormat="1" ht="15.75" customHeight="1"/>
    <row r="834" customFormat="1" ht="15.75" customHeight="1"/>
    <row r="835" customFormat="1" ht="15.75" customHeight="1"/>
    <row r="836" customFormat="1" ht="15.75" customHeight="1"/>
    <row r="837" customFormat="1" ht="15.75" customHeight="1"/>
    <row r="838" customFormat="1" ht="15.75" customHeight="1"/>
    <row r="839" customFormat="1" ht="15.75" customHeight="1"/>
    <row r="840" customFormat="1" ht="15.75" customHeight="1"/>
    <row r="841" customFormat="1" ht="15.75" customHeight="1"/>
    <row r="842" customFormat="1" ht="15.75" customHeight="1"/>
    <row r="843" customFormat="1" ht="15.75" customHeight="1"/>
    <row r="844" customFormat="1" ht="15.75" customHeight="1"/>
    <row r="845" customFormat="1" ht="15.75" customHeight="1"/>
    <row r="846" customFormat="1" ht="15.75" customHeight="1"/>
    <row r="847" customFormat="1" ht="15.75" customHeight="1"/>
    <row r="848" customFormat="1" ht="15.75" customHeight="1"/>
    <row r="849" customFormat="1" ht="15.75" customHeight="1"/>
    <row r="850" customFormat="1" ht="15.75" customHeight="1"/>
    <row r="851" customFormat="1" ht="15.75" customHeight="1"/>
    <row r="852" customFormat="1" ht="15.75" customHeight="1"/>
    <row r="853" customFormat="1" ht="15.75" customHeight="1"/>
    <row r="854" customFormat="1" ht="15.75" customHeight="1"/>
    <row r="855" customFormat="1" ht="15.75" customHeight="1"/>
    <row r="856" customFormat="1" ht="15.75" customHeight="1"/>
    <row r="857" customFormat="1" ht="15.75" customHeight="1"/>
    <row r="858" customFormat="1" ht="15.75" customHeight="1"/>
    <row r="859" customFormat="1" ht="15.75" customHeight="1"/>
    <row r="860" customFormat="1" ht="15.75" customHeight="1"/>
    <row r="861" customFormat="1" ht="15.75" customHeight="1"/>
    <row r="862" customFormat="1" ht="15.75" customHeight="1"/>
    <row r="863" customFormat="1" ht="15.75" customHeight="1"/>
    <row r="864" customFormat="1" ht="15.75" customHeight="1"/>
    <row r="865" customFormat="1" ht="15.75" customHeight="1"/>
    <row r="866" customFormat="1" ht="15.75" customHeight="1"/>
    <row r="867" customFormat="1" ht="15.75" customHeight="1"/>
    <row r="868" customFormat="1" ht="15.75" customHeight="1"/>
    <row r="869" customFormat="1" ht="15.75" customHeight="1"/>
    <row r="870" customFormat="1" ht="15.75" customHeight="1"/>
    <row r="871" customFormat="1" ht="15.75" customHeight="1"/>
    <row r="872" customFormat="1" ht="15.75" customHeight="1"/>
    <row r="873" customFormat="1" ht="15.75" customHeight="1"/>
    <row r="874" customFormat="1" ht="15.75" customHeight="1"/>
    <row r="875" customFormat="1" ht="15.75" customHeight="1"/>
    <row r="876" customFormat="1" ht="15.75" customHeight="1"/>
    <row r="877" customFormat="1" ht="15.75" customHeight="1"/>
    <row r="878" customFormat="1" ht="15.75" customHeight="1"/>
    <row r="879" customFormat="1" ht="15.75" customHeight="1"/>
    <row r="880" customFormat="1" ht="15.75" customHeight="1"/>
    <row r="881" customFormat="1" ht="15.75" customHeight="1"/>
    <row r="882" customFormat="1" ht="15.75" customHeight="1"/>
    <row r="883" customFormat="1" ht="15.75" customHeight="1"/>
    <row r="884" customFormat="1" ht="15.75" customHeight="1"/>
    <row r="885" customFormat="1" ht="15.75" customHeight="1"/>
    <row r="886" customFormat="1" ht="15.75" customHeight="1"/>
    <row r="887" customFormat="1" ht="15.75" customHeight="1"/>
    <row r="888" customFormat="1" ht="15.75" customHeight="1"/>
    <row r="889" customFormat="1" ht="15.75" customHeight="1"/>
    <row r="890" customFormat="1" ht="15.75" customHeight="1"/>
    <row r="891" customFormat="1" ht="15.75" customHeight="1"/>
    <row r="892" customFormat="1" ht="15.75" customHeight="1"/>
    <row r="893" customFormat="1" ht="15.75" customHeight="1"/>
    <row r="894" customFormat="1" ht="15.75" customHeight="1"/>
    <row r="895" customFormat="1" ht="15.75" customHeight="1"/>
    <row r="896" customFormat="1" ht="15.75" customHeight="1"/>
    <row r="897" customFormat="1" ht="15.75" customHeight="1"/>
    <row r="898" customFormat="1" ht="15.75" customHeight="1"/>
    <row r="899" customFormat="1" ht="15.75" customHeight="1"/>
    <row r="900" customFormat="1" ht="15.75" customHeight="1"/>
    <row r="901" customFormat="1" ht="15.75" customHeight="1"/>
    <row r="902" customFormat="1" ht="15.75" customHeight="1"/>
    <row r="903" customFormat="1" ht="15.75" customHeight="1"/>
    <row r="904" customFormat="1" ht="15.75" customHeight="1"/>
    <row r="905" customFormat="1" ht="15.75" customHeight="1"/>
    <row r="906" customFormat="1" ht="15.75" customHeight="1"/>
    <row r="907" customFormat="1" ht="15.75" customHeight="1"/>
    <row r="908" customFormat="1" ht="15.75" customHeight="1"/>
    <row r="909" customFormat="1" ht="15.75" customHeight="1"/>
    <row r="910" customFormat="1" ht="15.75" customHeight="1"/>
    <row r="911" customFormat="1" ht="15.75" customHeight="1"/>
    <row r="912" customFormat="1" ht="15.75" customHeight="1"/>
    <row r="913" customFormat="1" ht="15.75" customHeight="1"/>
    <row r="914" customFormat="1" ht="15.75" customHeight="1"/>
    <row r="915" customFormat="1" ht="15.75" customHeight="1"/>
    <row r="916" customFormat="1" ht="15.75" customHeight="1"/>
    <row r="917" customFormat="1" ht="15.75" customHeight="1"/>
    <row r="918" customFormat="1" ht="15.75" customHeight="1"/>
    <row r="919" customFormat="1" ht="15.75" customHeight="1"/>
    <row r="920" customFormat="1" ht="15.75" customHeight="1"/>
    <row r="921" customFormat="1" ht="15.75" customHeight="1"/>
    <row r="922" customFormat="1" ht="15.75" customHeight="1"/>
    <row r="923" customFormat="1" ht="15.75" customHeight="1"/>
    <row r="924" customFormat="1" ht="15.75" customHeight="1"/>
    <row r="925" customFormat="1" ht="15.75" customHeight="1"/>
    <row r="926" customFormat="1" ht="15.75" customHeight="1"/>
    <row r="927" customFormat="1" ht="15.75" customHeight="1"/>
    <row r="928" customFormat="1" ht="15.75" customHeight="1"/>
    <row r="929" customFormat="1" ht="15.75" customHeight="1"/>
    <row r="930" customFormat="1" ht="15.75" customHeight="1"/>
    <row r="931" customFormat="1" ht="15.75" customHeight="1"/>
    <row r="932" customFormat="1" ht="15.75" customHeight="1"/>
    <row r="933" customFormat="1" ht="15.75" customHeight="1"/>
    <row r="934" customFormat="1" ht="15.75" customHeight="1"/>
    <row r="935" customFormat="1" ht="15.75" customHeight="1"/>
    <row r="936" customFormat="1" ht="15.75" customHeight="1"/>
    <row r="937" customFormat="1" ht="15.75" customHeight="1"/>
    <row r="938" customFormat="1" ht="15.75" customHeight="1"/>
    <row r="939" customFormat="1" ht="15.75" customHeight="1"/>
    <row r="940" customFormat="1" ht="15.75" customHeight="1"/>
    <row r="941" customFormat="1" ht="15.75" customHeight="1"/>
    <row r="942" customFormat="1" ht="15.75" customHeight="1"/>
    <row r="943" customFormat="1" ht="15.75" customHeight="1"/>
    <row r="944" customFormat="1" ht="15.75" customHeight="1"/>
    <row r="945" customFormat="1" ht="15.75" customHeight="1"/>
    <row r="946" customFormat="1" ht="15.75" customHeight="1"/>
    <row r="947" customFormat="1" ht="15.75" customHeight="1"/>
    <row r="948" customFormat="1" ht="15.75" customHeight="1"/>
    <row r="949" customFormat="1" ht="15.75" customHeight="1"/>
    <row r="950" customFormat="1" ht="15.75" customHeight="1"/>
    <row r="951" customFormat="1" ht="15.75" customHeight="1"/>
    <row r="952" customFormat="1" ht="15.75" customHeight="1"/>
    <row r="953" customFormat="1" ht="15.75" customHeight="1"/>
    <row r="954" customFormat="1" ht="15.75" customHeight="1"/>
    <row r="955" customFormat="1" ht="15.75" customHeight="1"/>
    <row r="956" customFormat="1" ht="15.75" customHeight="1"/>
    <row r="957" customFormat="1" ht="15.75" customHeight="1"/>
    <row r="958" customFormat="1" ht="15.75" customHeight="1"/>
    <row r="959" customFormat="1" ht="15.75" customHeight="1"/>
    <row r="960" customFormat="1" ht="15.75" customHeight="1"/>
    <row r="961" customFormat="1" ht="15.75" customHeight="1"/>
    <row r="962" customFormat="1" ht="15.75" customHeight="1"/>
    <row r="963" customFormat="1" ht="15.75" customHeight="1"/>
    <row r="964" customFormat="1" ht="15.75" customHeight="1"/>
    <row r="965" customFormat="1" ht="15.75" customHeight="1"/>
    <row r="966" customFormat="1" ht="15.75" customHeight="1"/>
    <row r="967" customFormat="1" ht="15.75" customHeight="1"/>
    <row r="968" customFormat="1" ht="15.75" customHeight="1"/>
    <row r="969" customFormat="1" ht="15.75" customHeight="1"/>
    <row r="970" customFormat="1" ht="15.75" customHeight="1"/>
    <row r="971" customFormat="1" ht="15.75" customHeight="1"/>
    <row r="972" customFormat="1" ht="15.75" customHeight="1"/>
    <row r="973" customFormat="1" ht="15.75" customHeight="1"/>
    <row r="974" customFormat="1" ht="15.75" customHeight="1"/>
    <row r="975" customFormat="1" ht="15.75" customHeight="1"/>
    <row r="976" customFormat="1" ht="15.75" customHeight="1"/>
    <row r="977" customFormat="1" ht="15.75" customHeight="1"/>
    <row r="978" customFormat="1" ht="15.75" customHeight="1"/>
    <row r="979" customFormat="1" ht="15.75" customHeight="1"/>
    <row r="980" customFormat="1" ht="15.75" customHeight="1"/>
    <row r="981" customFormat="1" ht="15.75" customHeight="1"/>
    <row r="982" customFormat="1" ht="15.75" customHeight="1"/>
    <row r="983" customFormat="1" ht="15.75" customHeight="1"/>
    <row r="984" customFormat="1" ht="15.75" customHeight="1"/>
    <row r="985" customFormat="1" ht="15.75" customHeight="1"/>
    <row r="986" customFormat="1" ht="15.75" customHeight="1"/>
    <row r="987" customFormat="1" ht="15.75" customHeight="1"/>
    <row r="988" customFormat="1" ht="15.75" customHeight="1"/>
    <row r="989" customFormat="1" ht="15.75" customHeight="1"/>
    <row r="990" customFormat="1" ht="15.75" customHeight="1"/>
    <row r="991" customFormat="1" ht="15.75" customHeight="1"/>
    <row r="992" customFormat="1" ht="15.75" customHeight="1"/>
    <row r="993" customFormat="1" ht="15.75" customHeight="1"/>
    <row r="994" customFormat="1" ht="15.75" customHeight="1"/>
    <row r="995" customFormat="1" ht="15.75" customHeight="1"/>
    <row r="996" customFormat="1" ht="15.75" customHeight="1"/>
    <row r="997" customFormat="1" ht="15.75" customHeight="1"/>
    <row r="998" customFormat="1" ht="15.75" customHeight="1"/>
    <row r="999" customFormat="1" ht="15.75" customHeight="1"/>
    <row r="1000" customFormat="1" ht="15.75" customHeight="1"/>
  </sheetData>
  <mergeCells count="8">
    <mergeCell ref="F10:G10"/>
    <mergeCell ref="A2:E2"/>
    <mergeCell ref="A6:E6"/>
    <mergeCell ref="A7:E7"/>
    <mergeCell ref="A8:E8"/>
    <mergeCell ref="A10:A11"/>
    <mergeCell ref="B10:B11"/>
    <mergeCell ref="C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maret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silmi yushini</dc:creator>
  <cp:lastModifiedBy>silmi yushini</cp:lastModifiedBy>
  <dcterms:created xsi:type="dcterms:W3CDTF">2026-03-28T15:12:55Z</dcterms:created>
  <dcterms:modified xsi:type="dcterms:W3CDTF">2026-03-28T15:15:46Z</dcterms:modified>
</cp:coreProperties>
</file>