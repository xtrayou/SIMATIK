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D75ED8DD05811C/Dokumen/"/>
    </mc:Choice>
  </mc:AlternateContent>
  <xr:revisionPtr revIDLastSave="0" documentId="8_{8BD28C8B-EC38-475F-9F5C-848623746980}" xr6:coauthVersionLast="47" xr6:coauthVersionMax="47" xr10:uidLastSave="{00000000-0000-0000-0000-000000000000}"/>
  <bookViews>
    <workbookView xWindow="-96" yWindow="0" windowWidth="11712" windowHeight="12336" xr2:uid="{3FF1E124-4B75-4B9B-A389-9E80B34698F4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4" i="1" l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A13" i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E12" i="1"/>
  <c r="E84" i="1" s="1"/>
</calcChain>
</file>

<file path=xl/sharedStrings.xml><?xml version="1.0" encoding="utf-8"?>
<sst xmlns="http://schemas.openxmlformats.org/spreadsheetml/2006/main" count="175" uniqueCount="104">
  <si>
    <t>LAMPIRAN BERITA ACARA STOK OPNAME FISIK PERSEDIAAN</t>
  </si>
  <si>
    <t>Lampiran 1</t>
  </si>
  <si>
    <t xml:space="preserve">Nomor </t>
  </si>
  <si>
    <t>: 5545/UN64.7/LK/2024</t>
  </si>
  <si>
    <t xml:space="preserve">Tanggal </t>
  </si>
  <si>
    <t>: 31 Desember 2024</t>
  </si>
  <si>
    <t>Unit</t>
  </si>
  <si>
    <t>: Fakultas Ilmu Komputer</t>
  </si>
  <si>
    <t xml:space="preserve">LAPORAN STOCK OPNAME </t>
  </si>
  <si>
    <t>UNTUK PERIODE YANG BERAKHIR TANGGAL  31 DESEMBER 2024</t>
  </si>
  <si>
    <t>TAHUN ANGGARAN</t>
  </si>
  <si>
    <t>No</t>
  </si>
  <si>
    <t>Jenis Barang</t>
  </si>
  <si>
    <t>Hasil Stock Opname</t>
  </si>
  <si>
    <t xml:space="preserve">Kondisi Barang </t>
  </si>
  <si>
    <t>Jumlah</t>
  </si>
  <si>
    <t xml:space="preserve"> Harga Satuan</t>
  </si>
  <si>
    <t>Total Harga</t>
  </si>
  <si>
    <t>Baik</t>
  </si>
  <si>
    <t>Rusak /Usang</t>
  </si>
  <si>
    <t>Amplop Coklat F4 Polos</t>
  </si>
  <si>
    <t>V</t>
  </si>
  <si>
    <t>Amplop Polos Putih No.104</t>
  </si>
  <si>
    <t>Amplop Polos Putih No.110</t>
  </si>
  <si>
    <t>Amplop Polos Putih No.90</t>
  </si>
  <si>
    <t>Balliner Biru Bergaris Medium</t>
  </si>
  <si>
    <t>Balliner Hitam Bergaris Medium</t>
  </si>
  <si>
    <t>Ballpoin Warna Biru</t>
  </si>
  <si>
    <t>Ballpoin Warna Hitam</t>
  </si>
  <si>
    <t>Bantex Box File Warna Maroon</t>
  </si>
  <si>
    <t>Bantex Ordner Warna Maroon</t>
  </si>
  <si>
    <t>Baterai Alkaline Size AA LR6 1.5V Isi 2</t>
  </si>
  <si>
    <t>Baterai Alkaline Size AAA LR6 1.5V Isi 2</t>
  </si>
  <si>
    <t>Binder Clip 105</t>
  </si>
  <si>
    <t>Binder Clip 107</t>
  </si>
  <si>
    <t>Binder Clip 111</t>
  </si>
  <si>
    <t>Binder Clip 155</t>
  </si>
  <si>
    <t>Binder Clip 200</t>
  </si>
  <si>
    <t>Binder Clip 260 (1 dus = 12 pcs)</t>
  </si>
  <si>
    <t>Cutter pisau besar L.500</t>
  </si>
  <si>
    <t>Cutter pisau Kecil L.300</t>
  </si>
  <si>
    <t>Dispenser Tape Sedang No. 50</t>
  </si>
  <si>
    <t>Double Tape Ukuran 1 Inchi</t>
  </si>
  <si>
    <t>Double Tape Ukuran 2 Inchi</t>
  </si>
  <si>
    <t>Glossy Photo Paper A4 isi 20</t>
  </si>
  <si>
    <t>Gunting Kertas Besar</t>
  </si>
  <si>
    <t>Gunting Kertas Kecil</t>
  </si>
  <si>
    <t>Isi Cutter Besar L500</t>
  </si>
  <si>
    <t>Isi Cutter Kecil L300</t>
  </si>
  <si>
    <t>Isi Stapler No. 10 (Kecil)</t>
  </si>
  <si>
    <t>Fasilkom</t>
  </si>
  <si>
    <t>Kertas HVS A4 70 Grm</t>
  </si>
  <si>
    <t>Kertas HVS A4 80 Grm</t>
  </si>
  <si>
    <t>Kertas HVS F4 70 Grm</t>
  </si>
  <si>
    <t>Kertas HVS F4 80 Grm</t>
  </si>
  <si>
    <t>Kertas sticker Ukuran A4</t>
  </si>
  <si>
    <t>Keyboard Komputer K120</t>
  </si>
  <si>
    <t>Lakban Bening 24 Milimeter</t>
  </si>
  <si>
    <t>Lakban Bening 48 Milimeter</t>
  </si>
  <si>
    <t>Lakban Hitam 24 Milimeter</t>
  </si>
  <si>
    <t>Lakban Hitam 48 Milimeter</t>
  </si>
  <si>
    <t>Lem Fox</t>
  </si>
  <si>
    <t>Lem Fox Stik PVAc Botol 60 gr</t>
  </si>
  <si>
    <t>Note Book (Agenda)</t>
  </si>
  <si>
    <t>Paper Clip Trigonal No.1</t>
  </si>
  <si>
    <t>Paper Clip Trigonal No.3</t>
  </si>
  <si>
    <t>Paper Clip Trigonal No.5</t>
  </si>
  <si>
    <t>Penghapus Whiteboard</t>
  </si>
  <si>
    <t>Pos It Sign Here 3M</t>
  </si>
  <si>
    <t>Post It Flags</t>
  </si>
  <si>
    <t>Post It Warna Warni Ukuran Sedang</t>
  </si>
  <si>
    <t>Spidol Permanent</t>
  </si>
  <si>
    <t>Spidol Whiteboard Biru</t>
  </si>
  <si>
    <t>Spidol Whiteboard Hitam</t>
  </si>
  <si>
    <t>Stapler No. 10 (Kecil)</t>
  </si>
  <si>
    <t>Stapler No. 3 (Sedang)</t>
  </si>
  <si>
    <t>fasilkom</t>
  </si>
  <si>
    <t>Tip-Ex</t>
  </si>
  <si>
    <t>Tip-Ex Kertas (Correction Tape)</t>
  </si>
  <si>
    <t>Tom &amp; Jerry Label Stiker No.100</t>
  </si>
  <si>
    <t>Tom &amp; Jerry Label Stiker No.101</t>
  </si>
  <si>
    <t>Isi Stapler No. 3 (Sedang)</t>
  </si>
  <si>
    <t>Kertas Foto Inkjet Paper</t>
  </si>
  <si>
    <t>Kertas (kertas concorde) Kuning</t>
  </si>
  <si>
    <t>Tinta Stempel Automatic Warna Biru</t>
  </si>
  <si>
    <t>Tinta Stempel Automatic Warna Ungu</t>
  </si>
  <si>
    <t>EPSON 003 Black</t>
  </si>
  <si>
    <t>EPSON 003 magenta</t>
  </si>
  <si>
    <t>EPSON 003 yellow</t>
  </si>
  <si>
    <t>EPSON 003 blue</t>
  </si>
  <si>
    <t>EPSON 001 Black</t>
  </si>
  <si>
    <t>EPSON 001 magenta</t>
  </si>
  <si>
    <t>EPSON 001 Cyan</t>
  </si>
  <si>
    <t>Sandisk 32 Gb</t>
  </si>
  <si>
    <t>EPSON 001 Yellow</t>
  </si>
  <si>
    <t xml:space="preserve"> </t>
  </si>
  <si>
    <t>Mengetahui,</t>
  </si>
  <si>
    <t>A.n Dekan</t>
  </si>
  <si>
    <t>Operator Persediaan</t>
  </si>
  <si>
    <t>Wakil Dekan Bidang Umum dan Keuangan</t>
  </si>
  <si>
    <t>Betha Nurina Sari, M.Kom.</t>
  </si>
  <si>
    <t>M Rizki Fauzi S, S.Pd.</t>
  </si>
  <si>
    <t>NIP. 198910232018032001</t>
  </si>
  <si>
    <t>NIP. 199111052021211001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</si>
</sst>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0"/>
      <color theme="1"/>
      <name val="Bookman Old Style"/>
    </font>
    <font>
      <sz val="11"/>
      <color theme="1"/>
      <name val="Bookman Old Style"/>
    </font>
    <font>
      <i/>
      <sz val="12"/>
      <color theme="1"/>
      <name val="Bookman Old Style"/>
    </font>
    <font>
      <sz val="11"/>
      <name val="Calibri"/>
    </font>
    <font>
      <i/>
      <sz val="11"/>
      <color theme="1"/>
      <name val="Bookman Old Style"/>
    </font>
    <font>
      <sz val="12"/>
      <color theme="1"/>
      <name val="Bookman Old Style"/>
    </font>
    <font>
      <b/>
      <sz val="12"/>
      <color theme="1"/>
      <name val="Bookman Old Style"/>
    </font>
    <font>
      <sz val="14"/>
      <color theme="1"/>
      <name val="Bookman Old Style"/>
    </font>
    <font>
      <b/>
      <sz val="12"/>
      <color rgb="FF000000"/>
      <name val="Bookman Old Style"/>
    </font>
    <font>
      <sz val="11"/>
      <color theme="1"/>
      <name val="Century Gothic"/>
    </font>
    <font>
      <sz val="12"/>
      <color theme="1"/>
      <name val="Century Gothic"/>
    </font>
    <font>
      <sz val="11"/>
      <color theme="1"/>
      <name val="Calibri"/>
    </font>
    <font>
      <b/>
      <sz val="12"/>
      <color theme="1"/>
      <name val="Century Gothic"/>
    </font>
    <font>
      <sz val="12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2" borderId="0" xfId="0" applyFont="1" applyFill="1" applyAlignment="1">
      <alignment horizontal="left" vertical="center" wrapText="1"/>
    </xf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0" borderId="0" xfId="0" applyFont="1" applyAlignment="1">
      <alignment horizontal="center"/>
    </xf>
    <xf numFmtId="0" fontId="0" fillId="0" borderId="0" xfId="0"/>
    <xf numFmtId="0" fontId="8" fillId="0" borderId="0" xfId="0" applyFont="1"/>
    <xf numFmtId="0" fontId="8" fillId="0" borderId="0" xfId="0" applyFont="1" applyAlignment="1">
      <alignment wrapText="1"/>
    </xf>
    <xf numFmtId="0" fontId="7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1" fontId="7" fillId="2" borderId="2" xfId="0" applyNumberFormat="1" applyFont="1" applyFill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7" fillId="2" borderId="2" xfId="0" applyFont="1" applyFill="1" applyBorder="1" applyAlignment="1">
      <alignment horizontal="center" vertical="center" wrapText="1"/>
    </xf>
    <xf numFmtId="0" fontId="4" fillId="0" borderId="5" xfId="0" applyFont="1" applyBorder="1"/>
    <xf numFmtId="0" fontId="7" fillId="2" borderId="6" xfId="0" applyFont="1" applyFill="1" applyBorder="1" applyAlignment="1">
      <alignment horizontal="center" vertical="center" wrapText="1"/>
    </xf>
    <xf numFmtId="1" fontId="7" fillId="2" borderId="6" xfId="0" applyNumberFormat="1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10" fillId="3" borderId="6" xfId="0" applyFont="1" applyFill="1" applyBorder="1" applyAlignment="1">
      <alignment horizontal="center"/>
    </xf>
    <xf numFmtId="0" fontId="11" fillId="3" borderId="4" xfId="0" applyFont="1" applyFill="1" applyBorder="1"/>
    <xf numFmtId="0" fontId="11" fillId="3" borderId="4" xfId="0" applyFont="1" applyFill="1" applyBorder="1" applyAlignment="1">
      <alignment horizontal="center"/>
    </xf>
    <xf numFmtId="3" fontId="11" fillId="3" borderId="4" xfId="0" applyNumberFormat="1" applyFont="1" applyFill="1" applyBorder="1" applyAlignment="1">
      <alignment horizontal="center"/>
    </xf>
    <xf numFmtId="3" fontId="10" fillId="3" borderId="4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2" fillId="0" borderId="4" xfId="0" applyFont="1" applyBorder="1"/>
    <xf numFmtId="0" fontId="11" fillId="3" borderId="7" xfId="0" applyFont="1" applyFill="1" applyBorder="1"/>
    <xf numFmtId="0" fontId="10" fillId="3" borderId="7" xfId="0" applyFont="1" applyFill="1" applyBorder="1" applyAlignment="1">
      <alignment horizontal="center"/>
    </xf>
    <xf numFmtId="3" fontId="11" fillId="3" borderId="7" xfId="0" applyNumberFormat="1" applyFont="1" applyFill="1" applyBorder="1" applyAlignment="1">
      <alignment horizontal="center"/>
    </xf>
    <xf numFmtId="0" fontId="12" fillId="0" borderId="7" xfId="0" applyFont="1" applyBorder="1"/>
    <xf numFmtId="0" fontId="11" fillId="3" borderId="7" xfId="0" applyFont="1" applyFill="1" applyBorder="1" applyAlignment="1">
      <alignment horizontal="center"/>
    </xf>
    <xf numFmtId="0" fontId="13" fillId="3" borderId="7" xfId="0" applyFont="1" applyFill="1" applyBorder="1"/>
    <xf numFmtId="0" fontId="12" fillId="3" borderId="7" xfId="0" applyFont="1" applyFill="1" applyBorder="1"/>
    <xf numFmtId="0" fontId="10" fillId="3" borderId="7" xfId="0" applyFont="1" applyFill="1" applyBorder="1"/>
    <xf numFmtId="3" fontId="10" fillId="3" borderId="7" xfId="0" applyNumberFormat="1" applyFont="1" applyFill="1" applyBorder="1" applyAlignment="1">
      <alignment horizontal="center"/>
    </xf>
    <xf numFmtId="3" fontId="10" fillId="0" borderId="7" xfId="0" applyNumberFormat="1" applyFont="1" applyBorder="1" applyAlignment="1">
      <alignment horizontal="center"/>
    </xf>
    <xf numFmtId="3" fontId="11" fillId="0" borderId="6" xfId="0" applyNumberFormat="1" applyFont="1" applyBorder="1" applyAlignment="1">
      <alignment horizontal="center"/>
    </xf>
    <xf numFmtId="0" fontId="12" fillId="0" borderId="0" xfId="0" applyFont="1"/>
    <xf numFmtId="0" fontId="2" fillId="3" borderId="0" xfId="0" applyFont="1" applyFill="1" applyAlignment="1">
      <alignment horizontal="center"/>
    </xf>
    <xf numFmtId="3" fontId="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6" fillId="0" borderId="0" xfId="0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FD6CD-B429-472D-8B2B-670FDC2AA628}">
  <dimension ref="A1:Z1000"/>
  <sheetViews>
    <sheetView tabSelected="1" workbookViewId="0">
      <selection sqref="A1:XFD1048576"/>
    </sheetView>
  </sheetViews>
  <sheetFormatPr defaultColWidth="14.44140625" defaultRowHeight="14.4"/>
  <cols>
    <col min="1" max="1" width="11" customWidth="1"/>
    <col min="2" max="2" width="74.33203125" customWidth="1"/>
    <col min="3" max="3" width="13.88671875" customWidth="1"/>
    <col min="4" max="4" width="15.6640625" customWidth="1"/>
    <col min="5" max="5" width="16.88671875" customWidth="1"/>
    <col min="6" max="6" width="11.88671875" customWidth="1"/>
    <col min="7" max="7" width="15.6640625" customWidth="1"/>
    <col min="8" max="26" width="8.6640625" customWidth="1"/>
  </cols>
  <sheetData>
    <row r="1" spans="1:26" ht="6" customHeight="1">
      <c r="A1" s="1"/>
      <c r="B1" s="2"/>
      <c r="C1" s="3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6.5" customHeight="1">
      <c r="A2" s="5" t="s">
        <v>0</v>
      </c>
      <c r="B2" s="6"/>
      <c r="C2" s="6"/>
      <c r="D2" s="6"/>
      <c r="E2" s="6"/>
      <c r="F2" s="4"/>
      <c r="G2" s="7" t="s">
        <v>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6">
      <c r="A3" s="8" t="s">
        <v>2</v>
      </c>
      <c r="B3" s="8" t="s">
        <v>3</v>
      </c>
      <c r="C3" s="9"/>
      <c r="D3" s="9"/>
      <c r="E3" s="9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6">
      <c r="A4" s="8" t="s">
        <v>4</v>
      </c>
      <c r="B4" s="8" t="s">
        <v>5</v>
      </c>
      <c r="C4" s="8"/>
      <c r="D4" s="8"/>
      <c r="E4" s="8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6">
      <c r="A5" s="8" t="s">
        <v>6</v>
      </c>
      <c r="B5" s="10" t="s">
        <v>7</v>
      </c>
      <c r="C5" s="10"/>
      <c r="D5" s="10"/>
      <c r="E5" s="10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6">
      <c r="A6" s="11" t="s">
        <v>8</v>
      </c>
      <c r="B6" s="12"/>
      <c r="C6" s="12"/>
      <c r="D6" s="12"/>
      <c r="E6" s="12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6">
      <c r="A7" s="11" t="s">
        <v>9</v>
      </c>
      <c r="B7" s="12"/>
      <c r="C7" s="12"/>
      <c r="D7" s="12"/>
      <c r="E7" s="12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6">
      <c r="A8" s="11" t="s">
        <v>10</v>
      </c>
      <c r="B8" s="12"/>
      <c r="C8" s="12"/>
      <c r="D8" s="12"/>
      <c r="E8" s="12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7.399999999999999">
      <c r="A9" s="13"/>
      <c r="B9" s="14"/>
      <c r="C9" s="13"/>
      <c r="D9" s="13"/>
      <c r="E9" s="13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7" customHeight="1">
      <c r="A10" s="15" t="s">
        <v>11</v>
      </c>
      <c r="B10" s="16" t="s">
        <v>12</v>
      </c>
      <c r="C10" s="17" t="s">
        <v>13</v>
      </c>
      <c r="D10" s="18"/>
      <c r="E10" s="19"/>
      <c r="F10" s="20" t="s">
        <v>14</v>
      </c>
      <c r="G10" s="19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43.5" customHeight="1">
      <c r="A11" s="21"/>
      <c r="B11" s="21"/>
      <c r="C11" s="22" t="s">
        <v>15</v>
      </c>
      <c r="D11" s="23" t="s">
        <v>16</v>
      </c>
      <c r="E11" s="24" t="s">
        <v>17</v>
      </c>
      <c r="F11" s="22" t="s">
        <v>18</v>
      </c>
      <c r="G11" s="22" t="s">
        <v>19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49.5" customHeight="1">
      <c r="A12" s="25">
        <v>1</v>
      </c>
      <c r="B12" s="26" t="s">
        <v>20</v>
      </c>
      <c r="C12" s="27">
        <v>1</v>
      </c>
      <c r="D12" s="28">
        <v>46454</v>
      </c>
      <c r="E12" s="29">
        <f t="shared" ref="E12:E83" si="0">D12*C12</f>
        <v>46454</v>
      </c>
      <c r="F12" s="30" t="s">
        <v>21</v>
      </c>
      <c r="G12" s="31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49.5" customHeight="1">
      <c r="A13" s="25">
        <f t="shared" ref="A13:A76" si="1">A12+1</f>
        <v>2</v>
      </c>
      <c r="B13" s="32" t="s">
        <v>22</v>
      </c>
      <c r="C13" s="33">
        <v>0</v>
      </c>
      <c r="D13" s="34">
        <v>19592</v>
      </c>
      <c r="E13" s="29">
        <f t="shared" si="0"/>
        <v>0</v>
      </c>
      <c r="F13" s="30" t="s">
        <v>21</v>
      </c>
      <c r="G13" s="35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49.5" customHeight="1">
      <c r="A14" s="25">
        <f t="shared" si="1"/>
        <v>3</v>
      </c>
      <c r="B14" s="32" t="s">
        <v>23</v>
      </c>
      <c r="C14" s="33">
        <v>0</v>
      </c>
      <c r="D14" s="34">
        <v>22089</v>
      </c>
      <c r="E14" s="29">
        <f t="shared" si="0"/>
        <v>0</v>
      </c>
      <c r="F14" s="30" t="s">
        <v>21</v>
      </c>
      <c r="G14" s="35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49.5" customHeight="1">
      <c r="A15" s="25">
        <f t="shared" si="1"/>
        <v>4</v>
      </c>
      <c r="B15" s="32" t="s">
        <v>24</v>
      </c>
      <c r="C15" s="33">
        <v>0</v>
      </c>
      <c r="D15" s="34">
        <v>26307</v>
      </c>
      <c r="E15" s="29">
        <f t="shared" si="0"/>
        <v>0</v>
      </c>
      <c r="F15" s="30" t="s">
        <v>21</v>
      </c>
      <c r="G15" s="35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49.5" customHeight="1">
      <c r="A16" s="25">
        <f t="shared" si="1"/>
        <v>5</v>
      </c>
      <c r="B16" s="32" t="s">
        <v>25</v>
      </c>
      <c r="C16" s="36">
        <v>0</v>
      </c>
      <c r="D16" s="34">
        <v>19601</v>
      </c>
      <c r="E16" s="29">
        <f t="shared" si="0"/>
        <v>0</v>
      </c>
      <c r="F16" s="30" t="s">
        <v>21</v>
      </c>
      <c r="G16" s="35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49.5" customHeight="1">
      <c r="A17" s="25">
        <f t="shared" si="1"/>
        <v>6</v>
      </c>
      <c r="B17" s="32" t="s">
        <v>26</v>
      </c>
      <c r="C17" s="36">
        <v>8</v>
      </c>
      <c r="D17" s="34">
        <v>19601</v>
      </c>
      <c r="E17" s="29">
        <f t="shared" si="0"/>
        <v>156808</v>
      </c>
      <c r="F17" s="30" t="s">
        <v>21</v>
      </c>
      <c r="G17" s="35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49.5" customHeight="1">
      <c r="A18" s="25">
        <f t="shared" si="1"/>
        <v>7</v>
      </c>
      <c r="B18" s="32" t="s">
        <v>27</v>
      </c>
      <c r="C18" s="36">
        <v>12</v>
      </c>
      <c r="D18" s="34">
        <v>4440</v>
      </c>
      <c r="E18" s="29">
        <f t="shared" si="0"/>
        <v>53280</v>
      </c>
      <c r="F18" s="30" t="s">
        <v>21</v>
      </c>
      <c r="G18" s="35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49.5" customHeight="1">
      <c r="A19" s="25">
        <f t="shared" si="1"/>
        <v>8</v>
      </c>
      <c r="B19" s="32" t="s">
        <v>28</v>
      </c>
      <c r="C19" s="36">
        <v>21</v>
      </c>
      <c r="D19" s="34">
        <v>4440</v>
      </c>
      <c r="E19" s="29">
        <f t="shared" si="0"/>
        <v>93240</v>
      </c>
      <c r="F19" s="30" t="s">
        <v>21</v>
      </c>
      <c r="G19" s="35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49.5" customHeight="1">
      <c r="A20" s="25">
        <f t="shared" si="1"/>
        <v>9</v>
      </c>
      <c r="B20" s="37" t="s">
        <v>29</v>
      </c>
      <c r="C20" s="36">
        <v>1</v>
      </c>
      <c r="D20" s="34">
        <v>55691</v>
      </c>
      <c r="E20" s="29">
        <f t="shared" si="0"/>
        <v>55691</v>
      </c>
      <c r="F20" s="30" t="s">
        <v>21</v>
      </c>
      <c r="G20" s="35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49.5" customHeight="1">
      <c r="A21" s="25">
        <f t="shared" si="1"/>
        <v>10</v>
      </c>
      <c r="B21" s="37" t="s">
        <v>30</v>
      </c>
      <c r="C21" s="36">
        <v>2</v>
      </c>
      <c r="D21" s="34">
        <v>55691</v>
      </c>
      <c r="E21" s="29">
        <f t="shared" si="0"/>
        <v>111382</v>
      </c>
      <c r="F21" s="30" t="s">
        <v>21</v>
      </c>
      <c r="G21" s="35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49.5" customHeight="1">
      <c r="A22" s="25">
        <f t="shared" si="1"/>
        <v>11</v>
      </c>
      <c r="B22" s="37" t="s">
        <v>31</v>
      </c>
      <c r="C22" s="33">
        <v>0</v>
      </c>
      <c r="D22" s="34">
        <v>14985</v>
      </c>
      <c r="E22" s="29">
        <f t="shared" si="0"/>
        <v>0</v>
      </c>
      <c r="F22" s="30" t="s">
        <v>21</v>
      </c>
      <c r="G22" s="35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49.5" customHeight="1">
      <c r="A23" s="25">
        <f t="shared" si="1"/>
        <v>12</v>
      </c>
      <c r="B23" s="37" t="s">
        <v>32</v>
      </c>
      <c r="C23" s="33">
        <v>0</v>
      </c>
      <c r="D23" s="34">
        <v>27956</v>
      </c>
      <c r="E23" s="29">
        <f t="shared" si="0"/>
        <v>0</v>
      </c>
      <c r="F23" s="30" t="s">
        <v>21</v>
      </c>
      <c r="G23" s="35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49.5" customHeight="1">
      <c r="A24" s="25">
        <f t="shared" si="1"/>
        <v>13</v>
      </c>
      <c r="B24" s="32" t="s">
        <v>33</v>
      </c>
      <c r="C24" s="33">
        <v>7</v>
      </c>
      <c r="D24" s="34">
        <v>4079</v>
      </c>
      <c r="E24" s="29">
        <f t="shared" si="0"/>
        <v>28553</v>
      </c>
      <c r="F24" s="30" t="s">
        <v>21</v>
      </c>
      <c r="G24" s="35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49.5" customHeight="1">
      <c r="A25" s="25">
        <f t="shared" si="1"/>
        <v>14</v>
      </c>
      <c r="B25" s="32" t="s">
        <v>34</v>
      </c>
      <c r="C25" s="33">
        <v>8</v>
      </c>
      <c r="D25" s="34">
        <v>3441</v>
      </c>
      <c r="E25" s="29">
        <f t="shared" si="0"/>
        <v>27528</v>
      </c>
      <c r="F25" s="30" t="s">
        <v>21</v>
      </c>
      <c r="G25" s="35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49.5" customHeight="1">
      <c r="A26" s="25">
        <f t="shared" si="1"/>
        <v>15</v>
      </c>
      <c r="B26" s="32" t="s">
        <v>35</v>
      </c>
      <c r="C26" s="33">
        <v>7</v>
      </c>
      <c r="D26" s="34">
        <v>6660</v>
      </c>
      <c r="E26" s="29">
        <f t="shared" si="0"/>
        <v>46620</v>
      </c>
      <c r="F26" s="30" t="s">
        <v>21</v>
      </c>
      <c r="G26" s="35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49.5" customHeight="1">
      <c r="A27" s="25">
        <f t="shared" si="1"/>
        <v>16</v>
      </c>
      <c r="B27" s="32" t="s">
        <v>36</v>
      </c>
      <c r="C27" s="33">
        <v>9</v>
      </c>
      <c r="D27" s="34">
        <v>8270</v>
      </c>
      <c r="E27" s="29">
        <f t="shared" si="0"/>
        <v>74430</v>
      </c>
      <c r="F27" s="30" t="s">
        <v>21</v>
      </c>
      <c r="G27" s="35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49.5" customHeight="1">
      <c r="A28" s="25">
        <f t="shared" si="1"/>
        <v>17</v>
      </c>
      <c r="B28" s="32" t="s">
        <v>37</v>
      </c>
      <c r="C28" s="33">
        <v>1</v>
      </c>
      <c r="D28" s="34">
        <v>14874</v>
      </c>
      <c r="E28" s="29">
        <f t="shared" si="0"/>
        <v>14874</v>
      </c>
      <c r="F28" s="30" t="s">
        <v>21</v>
      </c>
      <c r="G28" s="35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49.5" customHeight="1">
      <c r="A29" s="25">
        <f t="shared" si="1"/>
        <v>18</v>
      </c>
      <c r="B29" s="32" t="s">
        <v>38</v>
      </c>
      <c r="C29" s="33">
        <v>5</v>
      </c>
      <c r="D29" s="34">
        <v>19425</v>
      </c>
      <c r="E29" s="29">
        <f t="shared" si="0"/>
        <v>97125</v>
      </c>
      <c r="F29" s="30" t="s">
        <v>21</v>
      </c>
      <c r="G29" s="35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49.5" customHeight="1">
      <c r="A30" s="25">
        <f t="shared" si="1"/>
        <v>19</v>
      </c>
      <c r="B30" s="32" t="s">
        <v>39</v>
      </c>
      <c r="C30" s="36">
        <v>0</v>
      </c>
      <c r="D30" s="34">
        <v>17205</v>
      </c>
      <c r="E30" s="29">
        <f t="shared" si="0"/>
        <v>0</v>
      </c>
      <c r="F30" s="30" t="s">
        <v>21</v>
      </c>
      <c r="G30" s="35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49.5" customHeight="1">
      <c r="A31" s="25">
        <f t="shared" si="1"/>
        <v>20</v>
      </c>
      <c r="B31" s="32" t="s">
        <v>40</v>
      </c>
      <c r="C31" s="36">
        <v>0</v>
      </c>
      <c r="D31" s="34">
        <v>6549</v>
      </c>
      <c r="E31" s="29">
        <f t="shared" si="0"/>
        <v>0</v>
      </c>
      <c r="F31" s="30" t="s">
        <v>21</v>
      </c>
      <c r="G31" s="35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49.5" customHeight="1">
      <c r="A32" s="25">
        <f t="shared" si="1"/>
        <v>21</v>
      </c>
      <c r="B32" s="32" t="s">
        <v>41</v>
      </c>
      <c r="C32" s="33">
        <v>0</v>
      </c>
      <c r="D32" s="34">
        <v>31635</v>
      </c>
      <c r="E32" s="29">
        <f t="shared" si="0"/>
        <v>0</v>
      </c>
      <c r="F32" s="30" t="s">
        <v>21</v>
      </c>
      <c r="G32" s="35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49.5" customHeight="1">
      <c r="A33" s="25">
        <f t="shared" si="1"/>
        <v>22</v>
      </c>
      <c r="B33" s="37" t="s">
        <v>42</v>
      </c>
      <c r="C33" s="36">
        <v>2</v>
      </c>
      <c r="D33" s="34">
        <v>6105</v>
      </c>
      <c r="E33" s="29">
        <f t="shared" si="0"/>
        <v>12210</v>
      </c>
      <c r="F33" s="30" t="s">
        <v>21</v>
      </c>
      <c r="G33" s="38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49.5" customHeight="1">
      <c r="A34" s="25">
        <f t="shared" si="1"/>
        <v>23</v>
      </c>
      <c r="B34" s="37" t="s">
        <v>43</v>
      </c>
      <c r="C34" s="33">
        <v>2</v>
      </c>
      <c r="D34" s="34">
        <v>12210</v>
      </c>
      <c r="E34" s="29">
        <f t="shared" si="0"/>
        <v>24420</v>
      </c>
      <c r="F34" s="30" t="s">
        <v>21</v>
      </c>
      <c r="G34" s="35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25">
        <f t="shared" si="1"/>
        <v>24</v>
      </c>
      <c r="B35" s="32" t="s">
        <v>44</v>
      </c>
      <c r="C35" s="36">
        <v>3</v>
      </c>
      <c r="D35" s="34">
        <v>29859</v>
      </c>
      <c r="E35" s="29">
        <f t="shared" si="0"/>
        <v>89577</v>
      </c>
      <c r="F35" s="30" t="s">
        <v>21</v>
      </c>
      <c r="G35" s="35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7.75" customHeight="1">
      <c r="A36" s="25">
        <f t="shared" si="1"/>
        <v>25</v>
      </c>
      <c r="B36" s="32" t="s">
        <v>45</v>
      </c>
      <c r="C36" s="36">
        <v>0</v>
      </c>
      <c r="D36" s="34">
        <v>14319</v>
      </c>
      <c r="E36" s="29">
        <f t="shared" si="0"/>
        <v>0</v>
      </c>
      <c r="F36" s="30" t="s">
        <v>21</v>
      </c>
      <c r="G36" s="35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25">
        <f t="shared" si="1"/>
        <v>26</v>
      </c>
      <c r="B37" s="32" t="s">
        <v>46</v>
      </c>
      <c r="C37" s="36">
        <v>2</v>
      </c>
      <c r="D37" s="34">
        <v>11378</v>
      </c>
      <c r="E37" s="29">
        <f t="shared" si="0"/>
        <v>22756</v>
      </c>
      <c r="F37" s="30" t="s">
        <v>21</v>
      </c>
      <c r="G37" s="35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25">
        <f t="shared" si="1"/>
        <v>27</v>
      </c>
      <c r="B38" s="32" t="s">
        <v>47</v>
      </c>
      <c r="C38" s="36">
        <v>2</v>
      </c>
      <c r="D38" s="34">
        <v>5826</v>
      </c>
      <c r="E38" s="29">
        <f t="shared" si="0"/>
        <v>11652</v>
      </c>
      <c r="F38" s="30" t="s">
        <v>21</v>
      </c>
      <c r="G38" s="35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25">
        <f t="shared" si="1"/>
        <v>28</v>
      </c>
      <c r="B39" s="32" t="s">
        <v>48</v>
      </c>
      <c r="C39" s="36">
        <v>2</v>
      </c>
      <c r="D39" s="34">
        <v>4440</v>
      </c>
      <c r="E39" s="29">
        <f t="shared" si="0"/>
        <v>8880</v>
      </c>
      <c r="F39" s="30" t="s">
        <v>21</v>
      </c>
      <c r="G39" s="35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25">
        <f t="shared" si="1"/>
        <v>29</v>
      </c>
      <c r="B40" s="32" t="s">
        <v>49</v>
      </c>
      <c r="C40" s="33">
        <v>3</v>
      </c>
      <c r="D40" s="34">
        <v>62049</v>
      </c>
      <c r="E40" s="29">
        <f t="shared" si="0"/>
        <v>186147</v>
      </c>
      <c r="F40" s="30" t="s">
        <v>21</v>
      </c>
      <c r="G40" s="35"/>
      <c r="H40" s="4"/>
      <c r="I40" s="4" t="s">
        <v>50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78" customHeight="1">
      <c r="A41" s="25">
        <f t="shared" si="1"/>
        <v>30</v>
      </c>
      <c r="B41" s="37" t="s">
        <v>51</v>
      </c>
      <c r="C41" s="36">
        <v>5</v>
      </c>
      <c r="D41" s="34">
        <v>73815</v>
      </c>
      <c r="E41" s="29">
        <f t="shared" si="0"/>
        <v>369075</v>
      </c>
      <c r="F41" s="30" t="s">
        <v>21</v>
      </c>
      <c r="G41" s="35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25">
        <f t="shared" si="1"/>
        <v>31</v>
      </c>
      <c r="B42" s="32" t="s">
        <v>52</v>
      </c>
      <c r="C42" s="33">
        <v>3</v>
      </c>
      <c r="D42" s="34">
        <v>72150</v>
      </c>
      <c r="E42" s="29">
        <f t="shared" si="0"/>
        <v>216450</v>
      </c>
      <c r="F42" s="30" t="s">
        <v>21</v>
      </c>
      <c r="G42" s="35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25">
        <f t="shared" si="1"/>
        <v>32</v>
      </c>
      <c r="B43" s="37" t="s">
        <v>53</v>
      </c>
      <c r="C43" s="36">
        <v>5</v>
      </c>
      <c r="D43" s="34">
        <v>72150</v>
      </c>
      <c r="E43" s="29">
        <f t="shared" si="0"/>
        <v>360750</v>
      </c>
      <c r="F43" s="30" t="s">
        <v>21</v>
      </c>
      <c r="G43" s="35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25">
        <f t="shared" si="1"/>
        <v>33</v>
      </c>
      <c r="B44" s="32" t="s">
        <v>54</v>
      </c>
      <c r="C44" s="33">
        <v>3</v>
      </c>
      <c r="D44" s="34">
        <v>88800</v>
      </c>
      <c r="E44" s="29">
        <f t="shared" si="0"/>
        <v>266400</v>
      </c>
      <c r="F44" s="30" t="s">
        <v>21</v>
      </c>
      <c r="G44" s="35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25">
        <f t="shared" si="1"/>
        <v>34</v>
      </c>
      <c r="B45" s="32" t="s">
        <v>55</v>
      </c>
      <c r="C45" s="33">
        <v>0</v>
      </c>
      <c r="D45" s="34">
        <v>32745</v>
      </c>
      <c r="E45" s="29">
        <f t="shared" si="0"/>
        <v>0</v>
      </c>
      <c r="F45" s="30" t="s">
        <v>21</v>
      </c>
      <c r="G45" s="35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25">
        <f t="shared" si="1"/>
        <v>35</v>
      </c>
      <c r="B46" s="32" t="s">
        <v>56</v>
      </c>
      <c r="C46" s="33">
        <v>0</v>
      </c>
      <c r="D46" s="34">
        <v>200910</v>
      </c>
      <c r="E46" s="29">
        <f t="shared" si="0"/>
        <v>0</v>
      </c>
      <c r="F46" s="30" t="s">
        <v>21</v>
      </c>
      <c r="G46" s="35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25">
        <f t="shared" si="1"/>
        <v>36</v>
      </c>
      <c r="B47" s="32" t="s">
        <v>57</v>
      </c>
      <c r="C47" s="36">
        <v>2</v>
      </c>
      <c r="D47" s="34">
        <v>11543</v>
      </c>
      <c r="E47" s="29">
        <f t="shared" si="0"/>
        <v>23086</v>
      </c>
      <c r="F47" s="30" t="s">
        <v>21</v>
      </c>
      <c r="G47" s="35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25">
        <f t="shared" si="1"/>
        <v>37</v>
      </c>
      <c r="B48" s="32" t="s">
        <v>58</v>
      </c>
      <c r="C48" s="36">
        <v>3</v>
      </c>
      <c r="D48" s="34">
        <v>14430</v>
      </c>
      <c r="E48" s="29">
        <f t="shared" si="0"/>
        <v>43290</v>
      </c>
      <c r="F48" s="30" t="s">
        <v>21</v>
      </c>
      <c r="G48" s="35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25">
        <f t="shared" si="1"/>
        <v>38</v>
      </c>
      <c r="B49" s="32" t="s">
        <v>59</v>
      </c>
      <c r="C49" s="36">
        <v>2</v>
      </c>
      <c r="D49" s="34">
        <v>11655</v>
      </c>
      <c r="E49" s="29">
        <f t="shared" si="0"/>
        <v>23310</v>
      </c>
      <c r="F49" s="30" t="s">
        <v>21</v>
      </c>
      <c r="G49" s="35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25">
        <f t="shared" si="1"/>
        <v>39</v>
      </c>
      <c r="B50" s="32" t="s">
        <v>60</v>
      </c>
      <c r="C50" s="36">
        <v>0</v>
      </c>
      <c r="D50" s="34">
        <v>18315</v>
      </c>
      <c r="E50" s="29">
        <f t="shared" si="0"/>
        <v>0</v>
      </c>
      <c r="F50" s="30" t="s">
        <v>21</v>
      </c>
      <c r="G50" s="35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25">
        <f t="shared" si="1"/>
        <v>40</v>
      </c>
      <c r="B51" s="37" t="s">
        <v>61</v>
      </c>
      <c r="C51" s="36">
        <v>1</v>
      </c>
      <c r="D51" s="34">
        <v>18815</v>
      </c>
      <c r="E51" s="29">
        <f t="shared" si="0"/>
        <v>18815</v>
      </c>
      <c r="F51" s="30" t="s">
        <v>21</v>
      </c>
      <c r="G51" s="35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25">
        <f t="shared" si="1"/>
        <v>41</v>
      </c>
      <c r="B52" s="32" t="s">
        <v>62</v>
      </c>
      <c r="C52" s="36">
        <v>0</v>
      </c>
      <c r="D52" s="34">
        <v>15540</v>
      </c>
      <c r="E52" s="29">
        <f t="shared" si="0"/>
        <v>0</v>
      </c>
      <c r="F52" s="30" t="s">
        <v>21</v>
      </c>
      <c r="G52" s="35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25">
        <f t="shared" si="1"/>
        <v>42</v>
      </c>
      <c r="B53" s="32" t="s">
        <v>63</v>
      </c>
      <c r="C53" s="36">
        <v>0</v>
      </c>
      <c r="D53" s="34">
        <v>40848</v>
      </c>
      <c r="E53" s="29">
        <f t="shared" si="0"/>
        <v>0</v>
      </c>
      <c r="F53" s="30" t="s">
        <v>21</v>
      </c>
      <c r="G53" s="35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25">
        <f t="shared" si="1"/>
        <v>43</v>
      </c>
      <c r="B54" s="32" t="s">
        <v>64</v>
      </c>
      <c r="C54" s="33">
        <v>5</v>
      </c>
      <c r="D54" s="34">
        <v>2775</v>
      </c>
      <c r="E54" s="29">
        <f t="shared" si="0"/>
        <v>13875</v>
      </c>
      <c r="F54" s="30" t="s">
        <v>21</v>
      </c>
      <c r="G54" s="35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25">
        <f t="shared" si="1"/>
        <v>44</v>
      </c>
      <c r="B55" s="32" t="s">
        <v>65</v>
      </c>
      <c r="C55" s="33">
        <v>4</v>
      </c>
      <c r="D55" s="34">
        <v>4995</v>
      </c>
      <c r="E55" s="29">
        <f t="shared" si="0"/>
        <v>19980</v>
      </c>
      <c r="F55" s="30" t="s">
        <v>21</v>
      </c>
      <c r="G55" s="35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25">
        <f t="shared" si="1"/>
        <v>45</v>
      </c>
      <c r="B56" s="32" t="s">
        <v>66</v>
      </c>
      <c r="C56" s="33">
        <v>5</v>
      </c>
      <c r="D56" s="34">
        <v>11100</v>
      </c>
      <c r="E56" s="29">
        <f t="shared" si="0"/>
        <v>55500</v>
      </c>
      <c r="F56" s="30" t="s">
        <v>21</v>
      </c>
      <c r="G56" s="35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25">
        <f t="shared" si="1"/>
        <v>46</v>
      </c>
      <c r="B57" s="32" t="s">
        <v>67</v>
      </c>
      <c r="C57" s="36">
        <v>2</v>
      </c>
      <c r="D57" s="34">
        <v>10545</v>
      </c>
      <c r="E57" s="29">
        <f t="shared" si="0"/>
        <v>21090</v>
      </c>
      <c r="F57" s="30" t="s">
        <v>21</v>
      </c>
      <c r="G57" s="35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25">
        <f t="shared" si="1"/>
        <v>47</v>
      </c>
      <c r="B58" s="32" t="s">
        <v>68</v>
      </c>
      <c r="C58" s="33">
        <v>0</v>
      </c>
      <c r="D58" s="34">
        <v>24975</v>
      </c>
      <c r="E58" s="29">
        <f t="shared" si="0"/>
        <v>0</v>
      </c>
      <c r="F58" s="30" t="s">
        <v>21</v>
      </c>
      <c r="G58" s="35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25">
        <f t="shared" si="1"/>
        <v>48</v>
      </c>
      <c r="B59" s="32" t="s">
        <v>69</v>
      </c>
      <c r="C59" s="33">
        <v>2</v>
      </c>
      <c r="D59" s="34">
        <v>26196</v>
      </c>
      <c r="E59" s="29">
        <f t="shared" si="0"/>
        <v>52392</v>
      </c>
      <c r="F59" s="30" t="s">
        <v>21</v>
      </c>
      <c r="G59" s="35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25">
        <f t="shared" si="1"/>
        <v>49</v>
      </c>
      <c r="B60" s="32" t="s">
        <v>70</v>
      </c>
      <c r="C60" s="36">
        <v>2</v>
      </c>
      <c r="D60" s="34">
        <v>26196</v>
      </c>
      <c r="E60" s="29">
        <f t="shared" si="0"/>
        <v>52392</v>
      </c>
      <c r="F60" s="30" t="s">
        <v>21</v>
      </c>
      <c r="G60" s="35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25">
        <f t="shared" si="1"/>
        <v>50</v>
      </c>
      <c r="B61" s="32" t="s">
        <v>71</v>
      </c>
      <c r="C61" s="33">
        <v>2</v>
      </c>
      <c r="D61" s="34">
        <v>108780</v>
      </c>
      <c r="E61" s="29">
        <f t="shared" si="0"/>
        <v>217560</v>
      </c>
      <c r="F61" s="30" t="s">
        <v>21</v>
      </c>
      <c r="G61" s="35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25">
        <f t="shared" si="1"/>
        <v>51</v>
      </c>
      <c r="B62" s="32" t="s">
        <v>72</v>
      </c>
      <c r="C62" s="33">
        <v>3</v>
      </c>
      <c r="D62" s="34">
        <v>194250</v>
      </c>
      <c r="E62" s="29">
        <f t="shared" si="0"/>
        <v>582750</v>
      </c>
      <c r="F62" s="30" t="s">
        <v>21</v>
      </c>
      <c r="G62" s="35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25">
        <f t="shared" si="1"/>
        <v>52</v>
      </c>
      <c r="B63" s="32" t="s">
        <v>73</v>
      </c>
      <c r="C63" s="36">
        <v>5</v>
      </c>
      <c r="D63" s="34">
        <v>194250</v>
      </c>
      <c r="E63" s="29">
        <f t="shared" si="0"/>
        <v>971250</v>
      </c>
      <c r="F63" s="30" t="s">
        <v>21</v>
      </c>
      <c r="G63" s="35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25">
        <f t="shared" si="1"/>
        <v>53</v>
      </c>
      <c r="B64" s="32" t="s">
        <v>74</v>
      </c>
      <c r="C64" s="33">
        <v>1</v>
      </c>
      <c r="D64" s="34">
        <v>29859</v>
      </c>
      <c r="E64" s="29">
        <f t="shared" si="0"/>
        <v>29859</v>
      </c>
      <c r="F64" s="30" t="s">
        <v>21</v>
      </c>
      <c r="G64" s="35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25">
        <f t="shared" si="1"/>
        <v>54</v>
      </c>
      <c r="B65" s="32" t="s">
        <v>75</v>
      </c>
      <c r="C65" s="33">
        <v>0</v>
      </c>
      <c r="D65" s="34">
        <v>29415</v>
      </c>
      <c r="E65" s="29">
        <f t="shared" si="0"/>
        <v>0</v>
      </c>
      <c r="F65" s="30" t="s">
        <v>21</v>
      </c>
      <c r="G65" s="35"/>
      <c r="H65" s="4"/>
      <c r="I65" s="4" t="s">
        <v>76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25">
        <f t="shared" si="1"/>
        <v>55</v>
      </c>
      <c r="B66" s="32" t="s">
        <v>77</v>
      </c>
      <c r="C66" s="36">
        <v>0</v>
      </c>
      <c r="D66" s="34">
        <v>7770</v>
      </c>
      <c r="E66" s="29">
        <f t="shared" si="0"/>
        <v>0</v>
      </c>
      <c r="F66" s="30" t="s">
        <v>21</v>
      </c>
      <c r="G66" s="35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25">
        <f t="shared" si="1"/>
        <v>56</v>
      </c>
      <c r="B67" s="32" t="s">
        <v>78</v>
      </c>
      <c r="C67" s="36">
        <v>0</v>
      </c>
      <c r="D67" s="34">
        <v>13208</v>
      </c>
      <c r="E67" s="29">
        <f t="shared" si="0"/>
        <v>0</v>
      </c>
      <c r="F67" s="30" t="s">
        <v>21</v>
      </c>
      <c r="G67" s="35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25">
        <f t="shared" si="1"/>
        <v>57</v>
      </c>
      <c r="B68" s="32" t="s">
        <v>79</v>
      </c>
      <c r="C68" s="33">
        <v>0</v>
      </c>
      <c r="D68" s="34">
        <v>8880</v>
      </c>
      <c r="E68" s="29">
        <f t="shared" si="0"/>
        <v>0</v>
      </c>
      <c r="F68" s="30" t="s">
        <v>21</v>
      </c>
      <c r="G68" s="35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25">
        <f t="shared" si="1"/>
        <v>58</v>
      </c>
      <c r="B69" s="32" t="s">
        <v>80</v>
      </c>
      <c r="C69" s="33">
        <v>0</v>
      </c>
      <c r="D69" s="34">
        <v>11100</v>
      </c>
      <c r="E69" s="29">
        <f t="shared" si="0"/>
        <v>0</v>
      </c>
      <c r="F69" s="30" t="s">
        <v>21</v>
      </c>
      <c r="G69" s="35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25">
        <f t="shared" si="1"/>
        <v>59</v>
      </c>
      <c r="B70" s="39" t="s">
        <v>81</v>
      </c>
      <c r="C70" s="33">
        <v>2</v>
      </c>
      <c r="D70" s="40">
        <v>188370</v>
      </c>
      <c r="E70" s="29">
        <f t="shared" si="0"/>
        <v>376740</v>
      </c>
      <c r="F70" s="30" t="s">
        <v>21</v>
      </c>
      <c r="G70" s="35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25">
        <f t="shared" si="1"/>
        <v>60</v>
      </c>
      <c r="B71" s="39" t="s">
        <v>82</v>
      </c>
      <c r="C71" s="33">
        <v>1</v>
      </c>
      <c r="D71" s="40">
        <v>42753</v>
      </c>
      <c r="E71" s="29">
        <f t="shared" si="0"/>
        <v>42753</v>
      </c>
      <c r="F71" s="30" t="s">
        <v>21</v>
      </c>
      <c r="G71" s="35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25">
        <f t="shared" si="1"/>
        <v>61</v>
      </c>
      <c r="B72" s="39" t="s">
        <v>83</v>
      </c>
      <c r="C72" s="33">
        <v>1</v>
      </c>
      <c r="D72" s="40">
        <v>125000</v>
      </c>
      <c r="E72" s="29">
        <f t="shared" si="0"/>
        <v>125000</v>
      </c>
      <c r="F72" s="30" t="s">
        <v>21</v>
      </c>
      <c r="G72" s="35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25">
        <f t="shared" si="1"/>
        <v>62</v>
      </c>
      <c r="B73" s="39" t="s">
        <v>84</v>
      </c>
      <c r="C73" s="33">
        <v>1</v>
      </c>
      <c r="D73" s="41">
        <v>10118</v>
      </c>
      <c r="E73" s="29">
        <f t="shared" si="0"/>
        <v>10118</v>
      </c>
      <c r="F73" s="30" t="s">
        <v>21</v>
      </c>
      <c r="G73" s="35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25">
        <f t="shared" si="1"/>
        <v>63</v>
      </c>
      <c r="B74" s="39" t="s">
        <v>85</v>
      </c>
      <c r="C74" s="33">
        <v>1</v>
      </c>
      <c r="D74" s="41">
        <v>10118</v>
      </c>
      <c r="E74" s="29">
        <f t="shared" si="0"/>
        <v>10118</v>
      </c>
      <c r="F74" s="30" t="s">
        <v>21</v>
      </c>
      <c r="G74" s="35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25">
        <f t="shared" si="1"/>
        <v>64</v>
      </c>
      <c r="B75" s="32" t="s">
        <v>86</v>
      </c>
      <c r="C75" s="33">
        <v>3</v>
      </c>
      <c r="D75" s="34">
        <v>88800</v>
      </c>
      <c r="E75" s="29">
        <f t="shared" si="0"/>
        <v>266400</v>
      </c>
      <c r="F75" s="30" t="s">
        <v>21</v>
      </c>
      <c r="G75" s="35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25">
        <f t="shared" si="1"/>
        <v>65</v>
      </c>
      <c r="B76" s="32" t="s">
        <v>87</v>
      </c>
      <c r="C76" s="33">
        <v>3</v>
      </c>
      <c r="D76" s="34">
        <v>88800</v>
      </c>
      <c r="E76" s="29">
        <f t="shared" si="0"/>
        <v>266400</v>
      </c>
      <c r="F76" s="30" t="s">
        <v>21</v>
      </c>
      <c r="G76" s="35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25">
        <f t="shared" ref="A77:A83" si="2">A76+1</f>
        <v>66</v>
      </c>
      <c r="B77" s="32" t="s">
        <v>88</v>
      </c>
      <c r="C77" s="33">
        <v>3</v>
      </c>
      <c r="D77" s="34">
        <v>88800</v>
      </c>
      <c r="E77" s="29">
        <f t="shared" si="0"/>
        <v>266400</v>
      </c>
      <c r="F77" s="30" t="s">
        <v>21</v>
      </c>
      <c r="G77" s="35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25">
        <f t="shared" si="2"/>
        <v>67</v>
      </c>
      <c r="B78" s="32" t="s">
        <v>89</v>
      </c>
      <c r="C78" s="33">
        <v>3</v>
      </c>
      <c r="D78" s="34">
        <v>88800</v>
      </c>
      <c r="E78" s="29">
        <f t="shared" si="0"/>
        <v>266400</v>
      </c>
      <c r="F78" s="30" t="s">
        <v>21</v>
      </c>
      <c r="G78" s="35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25">
        <f t="shared" si="2"/>
        <v>68</v>
      </c>
      <c r="B79" s="32" t="s">
        <v>90</v>
      </c>
      <c r="C79" s="33">
        <v>3</v>
      </c>
      <c r="D79" s="34">
        <v>95460</v>
      </c>
      <c r="E79" s="29">
        <f t="shared" si="0"/>
        <v>286380</v>
      </c>
      <c r="F79" s="30" t="s">
        <v>21</v>
      </c>
      <c r="G79" s="35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25">
        <f t="shared" si="2"/>
        <v>69</v>
      </c>
      <c r="B80" s="32" t="s">
        <v>91</v>
      </c>
      <c r="C80" s="33">
        <v>3</v>
      </c>
      <c r="D80" s="34">
        <v>96570</v>
      </c>
      <c r="E80" s="29">
        <f t="shared" si="0"/>
        <v>289710</v>
      </c>
      <c r="F80" s="30" t="s">
        <v>21</v>
      </c>
      <c r="G80" s="35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25">
        <f t="shared" si="2"/>
        <v>70</v>
      </c>
      <c r="B81" s="32" t="s">
        <v>92</v>
      </c>
      <c r="C81" s="33">
        <v>3</v>
      </c>
      <c r="D81" s="34">
        <v>96570</v>
      </c>
      <c r="E81" s="29">
        <f t="shared" si="0"/>
        <v>289710</v>
      </c>
      <c r="F81" s="30" t="s">
        <v>21</v>
      </c>
      <c r="G81" s="35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25">
        <f t="shared" si="2"/>
        <v>71</v>
      </c>
      <c r="B82" s="32" t="s">
        <v>93</v>
      </c>
      <c r="C82" s="33">
        <v>2</v>
      </c>
      <c r="D82" s="42">
        <v>185000</v>
      </c>
      <c r="E82" s="29">
        <f t="shared" si="0"/>
        <v>370000</v>
      </c>
      <c r="F82" s="30" t="s">
        <v>21</v>
      </c>
      <c r="G82" s="35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25">
        <f t="shared" si="2"/>
        <v>72</v>
      </c>
      <c r="B83" s="32" t="s">
        <v>94</v>
      </c>
      <c r="C83" s="33">
        <v>3</v>
      </c>
      <c r="D83" s="34">
        <v>96570</v>
      </c>
      <c r="E83" s="29">
        <f t="shared" si="0"/>
        <v>289710</v>
      </c>
      <c r="F83" s="30" t="s">
        <v>21</v>
      </c>
      <c r="G83" s="35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3"/>
      <c r="B84" s="43"/>
      <c r="C84" s="44"/>
      <c r="D84" s="45">
        <f t="shared" ref="D84:E84" si="3">SUM(D12:D83)</f>
        <v>3252910</v>
      </c>
      <c r="E84" s="45">
        <f t="shared" si="3"/>
        <v>7655290</v>
      </c>
      <c r="F84" s="46"/>
      <c r="G84" s="43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7"/>
      <c r="C85" s="48" t="s">
        <v>95</v>
      </c>
      <c r="D85" s="48"/>
      <c r="E85" s="48"/>
      <c r="F85" s="48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9" t="s">
        <v>96</v>
      </c>
      <c r="C86" s="43"/>
      <c r="D86" s="43"/>
      <c r="E86" s="43"/>
      <c r="F86" s="48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9" t="s">
        <v>97</v>
      </c>
      <c r="C87" s="43"/>
      <c r="D87" s="43"/>
      <c r="E87" s="49" t="s">
        <v>98</v>
      </c>
      <c r="F87" s="48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9" t="s">
        <v>99</v>
      </c>
      <c r="C88" s="43"/>
      <c r="D88" s="43"/>
      <c r="E88" s="43"/>
      <c r="F88" s="48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3"/>
      <c r="C89" s="43"/>
      <c r="D89" s="43"/>
      <c r="E89" s="43"/>
      <c r="F89" s="48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3"/>
      <c r="C90" s="43"/>
      <c r="D90" s="43"/>
      <c r="E90" s="43"/>
      <c r="F90" s="48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3"/>
      <c r="C91" s="43"/>
      <c r="D91" s="43"/>
      <c r="E91" s="43"/>
      <c r="F91" s="48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50" t="s">
        <v>100</v>
      </c>
      <c r="C92" s="43"/>
      <c r="D92" s="43"/>
      <c r="E92" s="49" t="s">
        <v>101</v>
      </c>
      <c r="F92" s="48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9" t="s">
        <v>102</v>
      </c>
      <c r="C93" s="43"/>
      <c r="D93" s="43"/>
      <c r="E93" s="49" t="s">
        <v>103</v>
      </c>
      <c r="F93" s="48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7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7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7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7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7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7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7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7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7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7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7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7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7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7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7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7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7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7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7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7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7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7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7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7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7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7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7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7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7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7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7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7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7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7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7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7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7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7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7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7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7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7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7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7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7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7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7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7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7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7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7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7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7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7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7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7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7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7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7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7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7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7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7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7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7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7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7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7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7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7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7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7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7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7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7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7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7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7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7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7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7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7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7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7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7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7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7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7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7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7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7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7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7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7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7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7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7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7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7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7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7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7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7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7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7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7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7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7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7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7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7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7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7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7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7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7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7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7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7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7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7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7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7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7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7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7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7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7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7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7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7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7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7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7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7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7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7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7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7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7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7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7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7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7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7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7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7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7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7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7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7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7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7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7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7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7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7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7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7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7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7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7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7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7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7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7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7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7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7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7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7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7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7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7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7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7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7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7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7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7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7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7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7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7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7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7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7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7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7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7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7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7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7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7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7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7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7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7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7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7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/>
    <row r="295" spans="1:26" ht="15.75" customHeight="1"/>
    <row r="296" spans="1:26" ht="15.75" customHeight="1"/>
    <row r="297" spans="1:26" ht="15.75" customHeight="1"/>
    <row r="298" spans="1:26" ht="15.75" customHeight="1"/>
    <row r="299" spans="1:26" ht="15.75" customHeight="1"/>
    <row r="300" spans="1:26" ht="15.75" customHeight="1"/>
    <row r="301" spans="1:26" ht="15.75" customHeight="1"/>
    <row r="302" spans="1:26" ht="15.75" customHeight="1"/>
    <row r="303" spans="1:26" ht="15.75" customHeight="1"/>
    <row r="304" spans="1:26" ht="15.75" customHeight="1"/>
    <row r="305" customFormat="1" ht="15.75" customHeight="1"/>
    <row r="306" customFormat="1" ht="15.75" customHeight="1"/>
    <row r="307" customFormat="1" ht="15.75" customHeight="1"/>
    <row r="308" customFormat="1" ht="15.75" customHeight="1"/>
    <row r="309" customFormat="1" ht="15.75" customHeight="1"/>
    <row r="310" customFormat="1" ht="15.75" customHeight="1"/>
    <row r="311" customFormat="1" ht="15.75" customHeight="1"/>
    <row r="312" customFormat="1" ht="15.75" customHeight="1"/>
    <row r="313" customFormat="1" ht="15.75" customHeight="1"/>
    <row r="314" customFormat="1" ht="15.75" customHeight="1"/>
    <row r="315" customFormat="1" ht="15.75" customHeight="1"/>
    <row r="316" customFormat="1" ht="15.75" customHeight="1"/>
    <row r="317" customFormat="1" ht="15.75" customHeight="1"/>
    <row r="318" customFormat="1" ht="15.75" customHeight="1"/>
    <row r="319" customFormat="1" ht="15.75" customHeight="1"/>
    <row r="320" customFormat="1" ht="15.75" customHeight="1"/>
    <row r="321" customFormat="1" ht="15.75" customHeight="1"/>
    <row r="322" customFormat="1" ht="15.75" customHeight="1"/>
    <row r="323" customFormat="1" ht="15.75" customHeight="1"/>
    <row r="324" customFormat="1" ht="15.75" customHeight="1"/>
    <row r="325" customFormat="1" ht="15.75" customHeight="1"/>
    <row r="326" customFormat="1" ht="15.75" customHeight="1"/>
    <row r="327" customFormat="1" ht="15.75" customHeight="1"/>
    <row r="328" customFormat="1" ht="15.75" customHeight="1"/>
    <row r="329" customFormat="1" ht="15.75" customHeight="1"/>
    <row r="330" customFormat="1" ht="15.75" customHeight="1"/>
    <row r="331" customFormat="1" ht="15.75" customHeight="1"/>
    <row r="332" customFormat="1" ht="15.75" customHeight="1"/>
    <row r="333" customFormat="1" ht="15.75" customHeight="1"/>
    <row r="334" customFormat="1" ht="15.75" customHeight="1"/>
    <row r="335" customFormat="1" ht="15.75" customHeight="1"/>
    <row r="336" customFormat="1" ht="15.75" customHeight="1"/>
    <row r="337" customFormat="1" ht="15.75" customHeight="1"/>
    <row r="338" customFormat="1" ht="15.75" customHeight="1"/>
    <row r="339" customFormat="1" ht="15.75" customHeight="1"/>
    <row r="340" customFormat="1" ht="15.75" customHeight="1"/>
    <row r="341" customFormat="1" ht="15.75" customHeight="1"/>
    <row r="342" customFormat="1" ht="15.75" customHeight="1"/>
    <row r="343" customFormat="1" ht="15.75" customHeight="1"/>
    <row r="344" customFormat="1" ht="15.75" customHeight="1"/>
    <row r="345" customFormat="1" ht="15.75" customHeight="1"/>
    <row r="346" customFormat="1" ht="15.75" customHeight="1"/>
    <row r="347" customFormat="1" ht="15.75" customHeight="1"/>
    <row r="348" customFormat="1" ht="15.75" customHeight="1"/>
    <row r="349" customFormat="1" ht="15.75" customHeight="1"/>
    <row r="350" customFormat="1" ht="15.75" customHeight="1"/>
    <row r="351" customFormat="1" ht="15.75" customHeight="1"/>
    <row r="352" customFormat="1" ht="15.75" customHeight="1"/>
    <row r="353" customFormat="1" ht="15.75" customHeight="1"/>
    <row r="354" customFormat="1" ht="15.75" customHeight="1"/>
    <row r="355" customFormat="1" ht="15.75" customHeight="1"/>
    <row r="356" customFormat="1" ht="15.75" customHeight="1"/>
    <row r="357" customFormat="1" ht="15.75" customHeight="1"/>
    <row r="358" customFormat="1" ht="15.75" customHeight="1"/>
    <row r="359" customFormat="1" ht="15.75" customHeight="1"/>
    <row r="360" customFormat="1" ht="15.75" customHeight="1"/>
    <row r="361" customFormat="1" ht="15.75" customHeight="1"/>
    <row r="362" customFormat="1" ht="15.75" customHeight="1"/>
    <row r="363" customFormat="1" ht="15.75" customHeight="1"/>
    <row r="364" customFormat="1" ht="15.75" customHeight="1"/>
    <row r="365" customFormat="1" ht="15.75" customHeight="1"/>
    <row r="366" customFormat="1" ht="15.75" customHeight="1"/>
    <row r="367" customFormat="1" ht="15.75" customHeight="1"/>
    <row r="368" customFormat="1" ht="15.75" customHeight="1"/>
    <row r="369" customFormat="1" ht="15.75" customHeight="1"/>
    <row r="370" customFormat="1" ht="15.75" customHeight="1"/>
    <row r="371" customFormat="1" ht="15.75" customHeight="1"/>
    <row r="372" customFormat="1" ht="15.75" customHeight="1"/>
    <row r="373" customFormat="1" ht="15.75" customHeight="1"/>
    <row r="374" customFormat="1" ht="15.75" customHeight="1"/>
    <row r="375" customFormat="1" ht="15.75" customHeight="1"/>
    <row r="376" customFormat="1" ht="15.75" customHeight="1"/>
    <row r="377" customFormat="1" ht="15.75" customHeight="1"/>
    <row r="378" customFormat="1" ht="15.75" customHeight="1"/>
    <row r="379" customFormat="1" ht="15.75" customHeight="1"/>
    <row r="380" customFormat="1" ht="15.75" customHeight="1"/>
    <row r="381" customFormat="1" ht="15.75" customHeight="1"/>
    <row r="382" customFormat="1" ht="15.75" customHeight="1"/>
    <row r="383" customFormat="1" ht="15.75" customHeight="1"/>
    <row r="384" customFormat="1" ht="15.75" customHeight="1"/>
    <row r="385" customFormat="1" ht="15.75" customHeight="1"/>
    <row r="386" customFormat="1" ht="15.75" customHeight="1"/>
    <row r="387" customFormat="1" ht="15.75" customHeight="1"/>
    <row r="388" customFormat="1" ht="15.75" customHeight="1"/>
    <row r="389" customFormat="1" ht="15.75" customHeight="1"/>
    <row r="390" customFormat="1" ht="15.75" customHeight="1"/>
    <row r="391" customFormat="1" ht="15.75" customHeight="1"/>
    <row r="392" customFormat="1" ht="15.75" customHeight="1"/>
    <row r="393" customFormat="1" ht="15.75" customHeight="1"/>
    <row r="394" customFormat="1" ht="15.75" customHeight="1"/>
    <row r="395" customFormat="1" ht="15.75" customHeight="1"/>
    <row r="396" customFormat="1" ht="15.75" customHeight="1"/>
    <row r="397" customFormat="1" ht="15.75" customHeight="1"/>
    <row r="398" customFormat="1" ht="15.75" customHeight="1"/>
    <row r="399" customFormat="1" ht="15.75" customHeight="1"/>
    <row r="400" customFormat="1" ht="15.75" customHeight="1"/>
    <row r="401" customFormat="1" ht="15.75" customHeight="1"/>
    <row r="402" customFormat="1" ht="15.75" customHeight="1"/>
    <row r="403" customFormat="1" ht="15.75" customHeight="1"/>
    <row r="404" customFormat="1" ht="15.75" customHeight="1"/>
    <row r="405" customFormat="1" ht="15.75" customHeight="1"/>
    <row r="406" customFormat="1" ht="15.75" customHeight="1"/>
    <row r="407" customFormat="1" ht="15.75" customHeight="1"/>
    <row r="408" customFormat="1" ht="15.75" customHeight="1"/>
    <row r="409" customFormat="1" ht="15.75" customHeight="1"/>
    <row r="410" customFormat="1" ht="15.75" customHeight="1"/>
    <row r="411" customFormat="1" ht="15.75" customHeight="1"/>
    <row r="412" customFormat="1" ht="15.75" customHeight="1"/>
    <row r="413" customFormat="1" ht="15.75" customHeight="1"/>
    <row r="414" customFormat="1" ht="15.75" customHeight="1"/>
    <row r="415" customFormat="1" ht="15.75" customHeight="1"/>
    <row r="416" customFormat="1" ht="15.75" customHeight="1"/>
    <row r="417" customFormat="1" ht="15.75" customHeight="1"/>
    <row r="418" customFormat="1" ht="15.75" customHeight="1"/>
    <row r="419" customFormat="1" ht="15.75" customHeight="1"/>
    <row r="420" customFormat="1" ht="15.75" customHeight="1"/>
    <row r="421" customFormat="1" ht="15.75" customHeight="1"/>
    <row r="422" customFormat="1" ht="15.75" customHeight="1"/>
    <row r="423" customFormat="1" ht="15.75" customHeight="1"/>
    <row r="424" customFormat="1" ht="15.75" customHeight="1"/>
    <row r="425" customFormat="1" ht="15.75" customHeight="1"/>
    <row r="426" customFormat="1" ht="15.75" customHeight="1"/>
    <row r="427" customFormat="1" ht="15.75" customHeight="1"/>
    <row r="428" customFormat="1" ht="15.75" customHeight="1"/>
    <row r="429" customFormat="1" ht="15.75" customHeight="1"/>
    <row r="430" customFormat="1" ht="15.75" customHeight="1"/>
    <row r="431" customFormat="1" ht="15.75" customHeight="1"/>
    <row r="432" customFormat="1" ht="15.75" customHeight="1"/>
    <row r="433" customFormat="1" ht="15.75" customHeight="1"/>
    <row r="434" customFormat="1" ht="15.75" customHeight="1"/>
    <row r="435" customFormat="1" ht="15.75" customHeight="1"/>
    <row r="436" customFormat="1" ht="15.75" customHeight="1"/>
    <row r="437" customFormat="1" ht="15.75" customHeight="1"/>
    <row r="438" customFormat="1" ht="15.75" customHeight="1"/>
    <row r="439" customFormat="1" ht="15.75" customHeight="1"/>
    <row r="440" customFormat="1" ht="15.75" customHeight="1"/>
    <row r="441" customFormat="1" ht="15.75" customHeight="1"/>
    <row r="442" customFormat="1" ht="15.75" customHeight="1"/>
    <row r="443" customFormat="1" ht="15.75" customHeight="1"/>
    <row r="444" customFormat="1" ht="15.75" customHeight="1"/>
    <row r="445" customFormat="1" ht="15.75" customHeight="1"/>
    <row r="446" customFormat="1" ht="15.75" customHeight="1"/>
    <row r="447" customFormat="1" ht="15.75" customHeight="1"/>
    <row r="448" customFormat="1" ht="15.75" customHeight="1"/>
    <row r="449" customFormat="1" ht="15.75" customHeight="1"/>
    <row r="450" customFormat="1" ht="15.75" customHeight="1"/>
    <row r="451" customFormat="1" ht="15.75" customHeight="1"/>
    <row r="452" customFormat="1" ht="15.75" customHeight="1"/>
    <row r="453" customFormat="1" ht="15.75" customHeight="1"/>
    <row r="454" customFormat="1" ht="15.75" customHeight="1"/>
    <row r="455" customFormat="1" ht="15.75" customHeight="1"/>
    <row r="456" customFormat="1" ht="15.75" customHeight="1"/>
    <row r="457" customFormat="1" ht="15.75" customHeight="1"/>
    <row r="458" customFormat="1" ht="15.75" customHeight="1"/>
    <row r="459" customFormat="1" ht="15.75" customHeight="1"/>
    <row r="460" customFormat="1" ht="15.75" customHeight="1"/>
    <row r="461" customFormat="1" ht="15.75" customHeight="1"/>
    <row r="462" customFormat="1" ht="15.75" customHeight="1"/>
    <row r="463" customFormat="1" ht="15.75" customHeight="1"/>
    <row r="464" customFormat="1" ht="15.75" customHeight="1"/>
    <row r="465" customFormat="1" ht="15.75" customHeight="1"/>
    <row r="466" customFormat="1" ht="15.75" customHeight="1"/>
    <row r="467" customFormat="1" ht="15.75" customHeight="1"/>
    <row r="468" customFormat="1" ht="15.75" customHeight="1"/>
    <row r="469" customFormat="1" ht="15.75" customHeight="1"/>
    <row r="470" customFormat="1" ht="15.75" customHeight="1"/>
    <row r="471" customFormat="1" ht="15.75" customHeight="1"/>
    <row r="472" customFormat="1" ht="15.75" customHeight="1"/>
    <row r="473" customFormat="1" ht="15.75" customHeight="1"/>
    <row r="474" customFormat="1" ht="15.75" customHeight="1"/>
    <row r="475" customFormat="1" ht="15.75" customHeight="1"/>
    <row r="476" customFormat="1" ht="15.75" customHeight="1"/>
    <row r="477" customFormat="1" ht="15.75" customHeight="1"/>
    <row r="478" customFormat="1" ht="15.75" customHeight="1"/>
    <row r="479" customFormat="1" ht="15.75" customHeight="1"/>
    <row r="480" customFormat="1" ht="15.75" customHeight="1"/>
    <row r="481" customFormat="1" ht="15.75" customHeight="1"/>
    <row r="482" customFormat="1" ht="15.75" customHeight="1"/>
    <row r="483" customFormat="1" ht="15.75" customHeight="1"/>
    <row r="484" customFormat="1" ht="15.75" customHeight="1"/>
    <row r="485" customFormat="1" ht="15.75" customHeight="1"/>
    <row r="486" customFormat="1" ht="15.75" customHeight="1"/>
    <row r="487" customFormat="1" ht="15.75" customHeight="1"/>
    <row r="488" customFormat="1" ht="15.75" customHeight="1"/>
    <row r="489" customFormat="1" ht="15.75" customHeight="1"/>
    <row r="490" customFormat="1" ht="15.75" customHeight="1"/>
    <row r="491" customFormat="1" ht="15.75" customHeight="1"/>
    <row r="492" customFormat="1" ht="15.75" customHeight="1"/>
    <row r="493" customFormat="1" ht="15.75" customHeight="1"/>
    <row r="494" customFormat="1" ht="15.75" customHeight="1"/>
    <row r="495" customFormat="1" ht="15.75" customHeight="1"/>
    <row r="496" customFormat="1" ht="15.75" customHeight="1"/>
    <row r="497" customFormat="1" ht="15.75" customHeight="1"/>
    <row r="498" customFormat="1" ht="15.75" customHeight="1"/>
    <row r="499" customFormat="1" ht="15.75" customHeight="1"/>
    <row r="500" customFormat="1" ht="15.75" customHeight="1"/>
    <row r="501" customFormat="1" ht="15.75" customHeight="1"/>
    <row r="502" customFormat="1" ht="15.75" customHeight="1"/>
    <row r="503" customFormat="1" ht="15.75" customHeight="1"/>
    <row r="504" customFormat="1" ht="15.75" customHeight="1"/>
    <row r="505" customFormat="1" ht="15.75" customHeight="1"/>
    <row r="506" customFormat="1" ht="15.75" customHeight="1"/>
    <row r="507" customFormat="1" ht="15.75" customHeight="1"/>
    <row r="508" customFormat="1" ht="15.75" customHeight="1"/>
    <row r="509" customFormat="1" ht="15.75" customHeight="1"/>
    <row r="510" customFormat="1" ht="15.75" customHeight="1"/>
    <row r="511" customFormat="1" ht="15.75" customHeight="1"/>
    <row r="512" customFormat="1" ht="15.75" customHeight="1"/>
    <row r="513" customFormat="1" ht="15.75" customHeight="1"/>
    <row r="514" customFormat="1" ht="15.75" customHeight="1"/>
    <row r="515" customFormat="1" ht="15.75" customHeight="1"/>
    <row r="516" customFormat="1" ht="15.75" customHeight="1"/>
    <row r="517" customFormat="1" ht="15.75" customHeight="1"/>
    <row r="518" customFormat="1" ht="15.75" customHeight="1"/>
    <row r="519" customFormat="1" ht="15.75" customHeight="1"/>
    <row r="520" customFormat="1" ht="15.75" customHeight="1"/>
    <row r="521" customFormat="1" ht="15.75" customHeight="1"/>
    <row r="522" customFormat="1" ht="15.75" customHeight="1"/>
    <row r="523" customFormat="1" ht="15.75" customHeight="1"/>
    <row r="524" customFormat="1" ht="15.75" customHeight="1"/>
    <row r="525" customFormat="1" ht="15.75" customHeight="1"/>
    <row r="526" customFormat="1" ht="15.75" customHeight="1"/>
    <row r="527" customFormat="1" ht="15.75" customHeight="1"/>
    <row r="528" customFormat="1" ht="15.75" customHeight="1"/>
    <row r="529" customFormat="1" ht="15.75" customHeight="1"/>
    <row r="530" customFormat="1" ht="15.75" customHeight="1"/>
    <row r="531" customFormat="1" ht="15.75" customHeight="1"/>
    <row r="532" customFormat="1" ht="15.75" customHeight="1"/>
    <row r="533" customFormat="1" ht="15.75" customHeight="1"/>
    <row r="534" customFormat="1" ht="15.75" customHeight="1"/>
    <row r="535" customFormat="1" ht="15.75" customHeight="1"/>
    <row r="536" customFormat="1" ht="15.75" customHeight="1"/>
    <row r="537" customFormat="1" ht="15.75" customHeight="1"/>
    <row r="538" customFormat="1" ht="15.75" customHeight="1"/>
    <row r="539" customFormat="1" ht="15.75" customHeight="1"/>
    <row r="540" customFormat="1" ht="15.75" customHeight="1"/>
    <row r="541" customFormat="1" ht="15.75" customHeight="1"/>
    <row r="542" customFormat="1" ht="15.75" customHeight="1"/>
    <row r="543" customFormat="1" ht="15.75" customHeight="1"/>
    <row r="544" customFormat="1" ht="15.75" customHeight="1"/>
    <row r="545" customFormat="1" ht="15.75" customHeight="1"/>
    <row r="546" customFormat="1" ht="15.75" customHeight="1"/>
    <row r="547" customFormat="1" ht="15.75" customHeight="1"/>
    <row r="548" customFormat="1" ht="15.75" customHeight="1"/>
    <row r="549" customFormat="1" ht="15.75" customHeight="1"/>
    <row r="550" customFormat="1" ht="15.75" customHeight="1"/>
    <row r="551" customFormat="1" ht="15.75" customHeight="1"/>
    <row r="552" customFormat="1" ht="15.75" customHeight="1"/>
    <row r="553" customFormat="1" ht="15.75" customHeight="1"/>
    <row r="554" customFormat="1" ht="15.75" customHeight="1"/>
    <row r="555" customFormat="1" ht="15.75" customHeight="1"/>
    <row r="556" customFormat="1" ht="15.75" customHeight="1"/>
    <row r="557" customFormat="1" ht="15.75" customHeight="1"/>
    <row r="558" customFormat="1" ht="15.75" customHeight="1"/>
    <row r="559" customFormat="1" ht="15.75" customHeight="1"/>
    <row r="560" customFormat="1" ht="15.75" customHeight="1"/>
    <row r="561" customFormat="1" ht="15.75" customHeight="1"/>
    <row r="562" customFormat="1" ht="15.75" customHeight="1"/>
    <row r="563" customFormat="1" ht="15.75" customHeight="1"/>
    <row r="564" customFormat="1" ht="15.75" customHeight="1"/>
    <row r="565" customFormat="1" ht="15.75" customHeight="1"/>
    <row r="566" customFormat="1" ht="15.75" customHeight="1"/>
    <row r="567" customFormat="1" ht="15.75" customHeight="1"/>
    <row r="568" customFormat="1" ht="15.75" customHeight="1"/>
    <row r="569" customFormat="1" ht="15.75" customHeight="1"/>
    <row r="570" customFormat="1" ht="15.75" customHeight="1"/>
    <row r="571" customFormat="1" ht="15.75" customHeight="1"/>
    <row r="572" customFormat="1" ht="15.75" customHeight="1"/>
    <row r="573" customFormat="1" ht="15.75" customHeight="1"/>
    <row r="574" customFormat="1" ht="15.75" customHeight="1"/>
    <row r="575" customFormat="1" ht="15.75" customHeight="1"/>
    <row r="576" customFormat="1" ht="15.75" customHeight="1"/>
    <row r="577" customFormat="1" ht="15.75" customHeight="1"/>
    <row r="578" customFormat="1" ht="15.75" customHeight="1"/>
    <row r="579" customFormat="1" ht="15.75" customHeight="1"/>
    <row r="580" customFormat="1" ht="15.75" customHeight="1"/>
    <row r="581" customFormat="1" ht="15.75" customHeight="1"/>
    <row r="582" customFormat="1" ht="15.75" customHeight="1"/>
    <row r="583" customFormat="1" ht="15.75" customHeight="1"/>
    <row r="584" customFormat="1" ht="15.75" customHeight="1"/>
    <row r="585" customFormat="1" ht="15.75" customHeight="1"/>
    <row r="586" customFormat="1" ht="15.75" customHeight="1"/>
    <row r="587" customFormat="1" ht="15.75" customHeight="1"/>
    <row r="588" customFormat="1" ht="15.75" customHeight="1"/>
    <row r="589" customFormat="1" ht="15.75" customHeight="1"/>
    <row r="590" customFormat="1" ht="15.75" customHeight="1"/>
    <row r="591" customFormat="1" ht="15.75" customHeight="1"/>
    <row r="592" customFormat="1" ht="15.75" customHeight="1"/>
    <row r="593" customFormat="1" ht="15.75" customHeight="1"/>
    <row r="594" customFormat="1" ht="15.75" customHeight="1"/>
    <row r="595" customFormat="1" ht="15.75" customHeight="1"/>
    <row r="596" customFormat="1" ht="15.75" customHeight="1"/>
    <row r="597" customFormat="1" ht="15.75" customHeight="1"/>
    <row r="598" customFormat="1" ht="15.75" customHeight="1"/>
    <row r="599" customFormat="1" ht="15.75" customHeight="1"/>
    <row r="600" customFormat="1" ht="15.75" customHeight="1"/>
    <row r="601" customFormat="1" ht="15.75" customHeight="1"/>
    <row r="602" customFormat="1" ht="15.75" customHeight="1"/>
    <row r="603" customFormat="1" ht="15.75" customHeight="1"/>
    <row r="604" customFormat="1" ht="15.75" customHeight="1"/>
    <row r="605" customFormat="1" ht="15.75" customHeight="1"/>
    <row r="606" customFormat="1" ht="15.75" customHeight="1"/>
    <row r="607" customFormat="1" ht="15.75" customHeight="1"/>
    <row r="608" customFormat="1" ht="15.75" customHeight="1"/>
    <row r="609" customFormat="1" ht="15.75" customHeight="1"/>
    <row r="610" customFormat="1" ht="15.75" customHeight="1"/>
    <row r="611" customFormat="1" ht="15.75" customHeight="1"/>
    <row r="612" customFormat="1" ht="15.75" customHeight="1"/>
    <row r="613" customFormat="1" ht="15.75" customHeight="1"/>
    <row r="614" customFormat="1" ht="15.75" customHeight="1"/>
    <row r="615" customFormat="1" ht="15.75" customHeight="1"/>
    <row r="616" customFormat="1" ht="15.75" customHeight="1"/>
    <row r="617" customFormat="1" ht="15.75" customHeight="1"/>
    <row r="618" customFormat="1" ht="15.75" customHeight="1"/>
    <row r="619" customFormat="1" ht="15.75" customHeight="1"/>
    <row r="620" customFormat="1" ht="15.75" customHeight="1"/>
    <row r="621" customFormat="1" ht="15.75" customHeight="1"/>
    <row r="622" customFormat="1" ht="15.75" customHeight="1"/>
    <row r="623" customFormat="1" ht="15.75" customHeight="1"/>
    <row r="624" customFormat="1" ht="15.75" customHeight="1"/>
    <row r="625" customFormat="1" ht="15.75" customHeight="1"/>
    <row r="626" customFormat="1" ht="15.75" customHeight="1"/>
    <row r="627" customFormat="1" ht="15.75" customHeight="1"/>
    <row r="628" customFormat="1" ht="15.75" customHeight="1"/>
    <row r="629" customFormat="1" ht="15.75" customHeight="1"/>
    <row r="630" customFormat="1" ht="15.75" customHeight="1"/>
    <row r="631" customFormat="1" ht="15.75" customHeight="1"/>
    <row r="632" customFormat="1" ht="15.75" customHeight="1"/>
    <row r="633" customFormat="1" ht="15.75" customHeight="1"/>
    <row r="634" customFormat="1" ht="15.75" customHeight="1"/>
    <row r="635" customFormat="1" ht="15.75" customHeight="1"/>
    <row r="636" customFormat="1" ht="15.75" customHeight="1"/>
    <row r="637" customFormat="1" ht="15.75" customHeight="1"/>
    <row r="638" customFormat="1" ht="15.75" customHeight="1"/>
    <row r="639" customFormat="1" ht="15.75" customHeight="1"/>
    <row r="640" customFormat="1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  <row r="781" customFormat="1" ht="15.75" customHeight="1"/>
    <row r="782" customFormat="1" ht="15.75" customHeight="1"/>
    <row r="783" customFormat="1" ht="15.75" customHeight="1"/>
    <row r="784" customFormat="1" ht="15.75" customHeight="1"/>
    <row r="785" customFormat="1" ht="15.75" customHeight="1"/>
    <row r="786" customFormat="1" ht="15.75" customHeight="1"/>
    <row r="787" customFormat="1" ht="15.75" customHeight="1"/>
    <row r="788" customFormat="1" ht="15.75" customHeight="1"/>
    <row r="789" customFormat="1" ht="15.75" customHeight="1"/>
    <row r="790" customFormat="1" ht="15.75" customHeight="1"/>
    <row r="791" customFormat="1" ht="15.75" customHeight="1"/>
    <row r="792" customFormat="1" ht="15.75" customHeight="1"/>
    <row r="793" customFormat="1" ht="15.75" customHeight="1"/>
    <row r="794" customFormat="1" ht="15.75" customHeight="1"/>
    <row r="795" customFormat="1" ht="15.75" customHeight="1"/>
    <row r="796" customFormat="1" ht="15.75" customHeight="1"/>
    <row r="797" customFormat="1" ht="15.75" customHeight="1"/>
    <row r="798" customFormat="1" ht="15.75" customHeight="1"/>
    <row r="799" customFormat="1" ht="15.75" customHeight="1"/>
    <row r="800" customFormat="1" ht="15.75" customHeight="1"/>
    <row r="801" customFormat="1" ht="15.75" customHeight="1"/>
    <row r="802" customFormat="1" ht="15.75" customHeight="1"/>
    <row r="803" customFormat="1" ht="15.75" customHeight="1"/>
    <row r="804" customFormat="1" ht="15.75" customHeight="1"/>
    <row r="805" customFormat="1" ht="15.75" customHeight="1"/>
    <row r="806" customFormat="1" ht="15.75" customHeight="1"/>
    <row r="807" customFormat="1" ht="15.75" customHeight="1"/>
    <row r="808" customFormat="1" ht="15.75" customHeight="1"/>
    <row r="809" customFormat="1" ht="15.75" customHeight="1"/>
    <row r="810" customFormat="1" ht="15.75" customHeight="1"/>
    <row r="811" customFormat="1" ht="15.75" customHeight="1"/>
    <row r="812" customFormat="1" ht="15.75" customHeight="1"/>
    <row r="813" customFormat="1" ht="15.75" customHeight="1"/>
    <row r="814" customFormat="1" ht="15.75" customHeight="1"/>
    <row r="815" customFormat="1" ht="15.75" customHeight="1"/>
    <row r="816" customFormat="1" ht="15.75" customHeight="1"/>
    <row r="817" customFormat="1" ht="15.75" customHeight="1"/>
    <row r="818" customFormat="1" ht="15.75" customHeight="1"/>
    <row r="819" customFormat="1" ht="15.75" customHeight="1"/>
    <row r="820" customFormat="1" ht="15.75" customHeight="1"/>
    <row r="821" customFormat="1" ht="15.75" customHeight="1"/>
    <row r="822" customFormat="1" ht="15.75" customHeight="1"/>
    <row r="823" customFormat="1" ht="15.75" customHeight="1"/>
    <row r="824" customFormat="1" ht="15.75" customHeight="1"/>
    <row r="825" customFormat="1" ht="15.75" customHeight="1"/>
    <row r="826" customFormat="1" ht="15.75" customHeight="1"/>
    <row r="827" customFormat="1" ht="15.75" customHeight="1"/>
    <row r="828" customFormat="1" ht="15.75" customHeight="1"/>
    <row r="829" customFormat="1" ht="15.75" customHeight="1"/>
    <row r="830" customFormat="1" ht="15.75" customHeight="1"/>
    <row r="831" customFormat="1" ht="15.75" customHeight="1"/>
    <row r="832" customFormat="1" ht="15.75" customHeight="1"/>
    <row r="833" customFormat="1" ht="15.75" customHeight="1"/>
    <row r="834" customFormat="1" ht="15.75" customHeight="1"/>
    <row r="835" customFormat="1" ht="15.75" customHeight="1"/>
    <row r="836" customFormat="1" ht="15.75" customHeight="1"/>
    <row r="837" customFormat="1" ht="15.75" customHeight="1"/>
    <row r="838" customFormat="1" ht="15.75" customHeight="1"/>
    <row r="839" customFormat="1" ht="15.75" customHeight="1"/>
    <row r="840" customFormat="1" ht="15.75" customHeight="1"/>
    <row r="841" customFormat="1" ht="15.75" customHeight="1"/>
    <row r="842" customFormat="1" ht="15.75" customHeight="1"/>
    <row r="843" customFormat="1" ht="15.75" customHeight="1"/>
    <row r="844" customFormat="1" ht="15.75" customHeight="1"/>
    <row r="845" customFormat="1" ht="15.75" customHeight="1"/>
    <row r="846" customFormat="1" ht="15.75" customHeight="1"/>
    <row r="847" customFormat="1" ht="15.75" customHeight="1"/>
    <row r="848" customFormat="1" ht="15.75" customHeight="1"/>
    <row r="849" customFormat="1" ht="15.75" customHeight="1"/>
    <row r="850" customFormat="1" ht="15.75" customHeight="1"/>
    <row r="851" customFormat="1" ht="15.75" customHeight="1"/>
    <row r="852" customFormat="1" ht="15.75" customHeight="1"/>
    <row r="853" customFormat="1" ht="15.75" customHeight="1"/>
    <row r="854" customFormat="1" ht="15.75" customHeight="1"/>
    <row r="855" customFormat="1" ht="15.75" customHeight="1"/>
    <row r="856" customFormat="1" ht="15.75" customHeight="1"/>
    <row r="857" customFormat="1" ht="15.75" customHeight="1"/>
    <row r="858" customFormat="1" ht="15.75" customHeight="1"/>
    <row r="859" customFormat="1" ht="15.75" customHeight="1"/>
    <row r="860" customFormat="1" ht="15.75" customHeight="1"/>
    <row r="861" customFormat="1" ht="15.75" customHeight="1"/>
    <row r="862" customFormat="1" ht="15.75" customHeight="1"/>
    <row r="863" customFormat="1" ht="15.75" customHeight="1"/>
    <row r="864" customFormat="1" ht="15.75" customHeight="1"/>
    <row r="865" customFormat="1" ht="15.75" customHeight="1"/>
    <row r="866" customFormat="1" ht="15.75" customHeight="1"/>
    <row r="867" customFormat="1" ht="15.75" customHeight="1"/>
    <row r="868" customFormat="1" ht="15.75" customHeight="1"/>
    <row r="869" customFormat="1" ht="15.75" customHeight="1"/>
    <row r="870" customFormat="1" ht="15.75" customHeight="1"/>
    <row r="871" customFormat="1" ht="15.75" customHeight="1"/>
    <row r="872" customFormat="1" ht="15.75" customHeight="1"/>
    <row r="873" customFormat="1" ht="15.75" customHeight="1"/>
    <row r="874" customFormat="1" ht="15.75" customHeight="1"/>
    <row r="875" customFormat="1" ht="15.75" customHeight="1"/>
    <row r="876" customFormat="1" ht="15.75" customHeight="1"/>
    <row r="877" customFormat="1" ht="15.75" customHeight="1"/>
    <row r="878" customFormat="1" ht="15.75" customHeight="1"/>
    <row r="879" customFormat="1" ht="15.75" customHeight="1"/>
    <row r="880" customFormat="1" ht="15.75" customHeight="1"/>
    <row r="881" customFormat="1" ht="15.75" customHeight="1"/>
    <row r="882" customFormat="1" ht="15.75" customHeight="1"/>
    <row r="883" customFormat="1" ht="15.75" customHeight="1"/>
    <row r="884" customFormat="1" ht="15.75" customHeight="1"/>
    <row r="885" customFormat="1" ht="15.75" customHeight="1"/>
    <row r="886" customFormat="1" ht="15.75" customHeight="1"/>
    <row r="887" customFormat="1" ht="15.75" customHeight="1"/>
    <row r="888" customFormat="1" ht="15.75" customHeight="1"/>
    <row r="889" customFormat="1" ht="15.75" customHeight="1"/>
    <row r="890" customFormat="1" ht="15.75" customHeight="1"/>
    <row r="891" customFormat="1" ht="15.75" customHeight="1"/>
    <row r="892" customFormat="1" ht="15.75" customHeight="1"/>
    <row r="893" customFormat="1" ht="15.75" customHeight="1"/>
    <row r="894" customFormat="1" ht="15.75" customHeight="1"/>
    <row r="895" customFormat="1" ht="15.75" customHeight="1"/>
    <row r="896" customFormat="1" ht="15.75" customHeight="1"/>
    <row r="897" customFormat="1" ht="15.75" customHeight="1"/>
    <row r="898" customFormat="1" ht="15.75" customHeight="1"/>
    <row r="899" customFormat="1" ht="15.75" customHeight="1"/>
    <row r="900" customFormat="1" ht="15.75" customHeight="1"/>
    <row r="901" customFormat="1" ht="15.75" customHeight="1"/>
    <row r="902" customFormat="1" ht="15.75" customHeight="1"/>
    <row r="903" customFormat="1" ht="15.75" customHeight="1"/>
    <row r="904" customFormat="1" ht="15.75" customHeight="1"/>
    <row r="905" customFormat="1" ht="15.75" customHeight="1"/>
    <row r="906" customFormat="1" ht="15.75" customHeight="1"/>
    <row r="907" customFormat="1" ht="15.75" customHeight="1"/>
    <row r="908" customFormat="1" ht="15.75" customHeight="1"/>
    <row r="909" customFormat="1" ht="15.75" customHeight="1"/>
    <row r="910" customFormat="1" ht="15.75" customHeight="1"/>
    <row r="911" customFormat="1" ht="15.75" customHeight="1"/>
    <row r="912" customFormat="1" ht="15.75" customHeight="1"/>
    <row r="913" customFormat="1" ht="15.75" customHeight="1"/>
    <row r="914" customFormat="1" ht="15.75" customHeight="1"/>
    <row r="915" customFormat="1" ht="15.75" customHeight="1"/>
    <row r="916" customFormat="1" ht="15.75" customHeight="1"/>
    <row r="917" customFormat="1" ht="15.75" customHeight="1"/>
    <row r="918" customFormat="1" ht="15.75" customHeight="1"/>
    <row r="919" customFormat="1" ht="15.75" customHeight="1"/>
    <row r="920" customFormat="1" ht="15.75" customHeight="1"/>
    <row r="921" customFormat="1" ht="15.75" customHeight="1"/>
    <row r="922" customFormat="1" ht="15.75" customHeight="1"/>
    <row r="923" customFormat="1" ht="15.75" customHeight="1"/>
    <row r="924" customFormat="1" ht="15.75" customHeight="1"/>
    <row r="925" customFormat="1" ht="15.75" customHeight="1"/>
    <row r="926" customFormat="1" ht="15.75" customHeight="1"/>
    <row r="927" customFormat="1" ht="15.75" customHeight="1"/>
    <row r="928" customFormat="1" ht="15.75" customHeight="1"/>
    <row r="929" customFormat="1" ht="15.75" customHeight="1"/>
    <row r="930" customFormat="1" ht="15.75" customHeight="1"/>
    <row r="931" customFormat="1" ht="15.75" customHeight="1"/>
    <row r="932" customFormat="1" ht="15.75" customHeight="1"/>
    <row r="933" customFormat="1" ht="15.75" customHeight="1"/>
    <row r="934" customFormat="1" ht="15.75" customHeight="1"/>
    <row r="935" customFormat="1" ht="15.75" customHeight="1"/>
    <row r="936" customFormat="1" ht="15.75" customHeight="1"/>
    <row r="937" customFormat="1" ht="15.75" customHeight="1"/>
    <row r="938" customFormat="1" ht="15.75" customHeight="1"/>
    <row r="939" customFormat="1" ht="15.75" customHeight="1"/>
    <row r="940" customFormat="1" ht="15.75" customHeight="1"/>
    <row r="941" customFormat="1" ht="15.75" customHeight="1"/>
    <row r="942" customFormat="1" ht="15.75" customHeight="1"/>
    <row r="943" customFormat="1" ht="15.75" customHeight="1"/>
    <row r="944" customFormat="1" ht="15.75" customHeight="1"/>
    <row r="945" customFormat="1" ht="15.75" customHeight="1"/>
    <row r="946" customFormat="1" ht="15.75" customHeight="1"/>
    <row r="947" customFormat="1" ht="15.75" customHeight="1"/>
    <row r="948" customFormat="1" ht="15.75" customHeight="1"/>
    <row r="949" customFormat="1" ht="15.75" customHeight="1"/>
    <row r="950" customFormat="1" ht="15.75" customHeight="1"/>
    <row r="951" customFormat="1" ht="15.75" customHeight="1"/>
    <row r="952" customFormat="1" ht="15.75" customHeight="1"/>
    <row r="953" customFormat="1" ht="15.75" customHeight="1"/>
    <row r="954" customFormat="1" ht="15.75" customHeight="1"/>
    <row r="955" customFormat="1" ht="15.75" customHeight="1"/>
    <row r="956" customFormat="1" ht="15.75" customHeight="1"/>
    <row r="957" customFormat="1" ht="15.75" customHeight="1"/>
    <row r="958" customFormat="1" ht="15.75" customHeight="1"/>
    <row r="959" customFormat="1" ht="15.75" customHeight="1"/>
    <row r="960" customFormat="1" ht="15.75" customHeight="1"/>
    <row r="961" customFormat="1" ht="15.75" customHeight="1"/>
    <row r="962" customFormat="1" ht="15.75" customHeight="1"/>
    <row r="963" customFormat="1" ht="15.75" customHeight="1"/>
    <row r="964" customFormat="1" ht="15.75" customHeight="1"/>
    <row r="965" customFormat="1" ht="15.75" customHeight="1"/>
    <row r="966" customFormat="1" ht="15.75" customHeight="1"/>
    <row r="967" customFormat="1" ht="15.75" customHeight="1"/>
    <row r="968" customFormat="1" ht="15.75" customHeight="1"/>
    <row r="969" customFormat="1" ht="15.75" customHeight="1"/>
    <row r="970" customFormat="1" ht="15.75" customHeight="1"/>
    <row r="971" customFormat="1" ht="15.75" customHeight="1"/>
    <row r="972" customFormat="1" ht="15.75" customHeight="1"/>
    <row r="973" customFormat="1" ht="15.75" customHeight="1"/>
    <row r="974" customFormat="1" ht="15.75" customHeight="1"/>
    <row r="975" customFormat="1" ht="15.75" customHeight="1"/>
    <row r="976" customFormat="1" ht="15.75" customHeight="1"/>
    <row r="977" customFormat="1" ht="15.75" customHeight="1"/>
    <row r="978" customFormat="1" ht="15.75" customHeight="1"/>
    <row r="979" customFormat="1" ht="15.75" customHeight="1"/>
    <row r="980" customFormat="1" ht="15.75" customHeight="1"/>
    <row r="981" customFormat="1" ht="15.75" customHeight="1"/>
    <row r="982" customFormat="1" ht="15.75" customHeight="1"/>
    <row r="983" customFormat="1" ht="15.75" customHeight="1"/>
    <row r="984" customFormat="1" ht="15.75" customHeight="1"/>
    <row r="985" customFormat="1" ht="15.75" customHeight="1"/>
    <row r="986" customFormat="1" ht="15.75" customHeight="1"/>
    <row r="987" customFormat="1" ht="15.75" customHeight="1"/>
    <row r="988" customFormat="1" ht="15.75" customHeight="1"/>
    <row r="989" customFormat="1" ht="15.75" customHeight="1"/>
    <row r="990" customFormat="1" ht="15.75" customHeight="1"/>
    <row r="991" customFormat="1" ht="15.75" customHeight="1"/>
    <row r="992" customFormat="1" ht="15.75" customHeight="1"/>
    <row r="993" customFormat="1" ht="15.75" customHeight="1"/>
    <row r="994" customFormat="1" ht="15.75" customHeight="1"/>
    <row r="995" customFormat="1" ht="15.75" customHeight="1"/>
    <row r="996" customFormat="1" ht="15.75" customHeight="1"/>
    <row r="997" customFormat="1" ht="15.75" customHeight="1"/>
    <row r="998" customFormat="1" ht="15.75" customHeight="1"/>
    <row r="999" customFormat="1" ht="15.75" customHeight="1"/>
    <row r="1000" customFormat="1" ht="15.75" customHeight="1"/>
  </sheetData>
  <mergeCells count="8">
    <mergeCell ref="F10:G10"/>
    <mergeCell ref="A2:E2"/>
    <mergeCell ref="A6:E6"/>
    <mergeCell ref="A7:E7"/>
    <mergeCell ref="A8:E8"/>
    <mergeCell ref="A10:A11"/>
    <mergeCell ref="B10:B11"/>
    <mergeCell ref="C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silmi yushini</dc:creator>
  <cp:lastModifiedBy>silmi yushini</cp:lastModifiedBy>
  <dcterms:created xsi:type="dcterms:W3CDTF">2026-03-28T15:16:44Z</dcterms:created>
  <dcterms:modified xsi:type="dcterms:W3CDTF">2026-03-28T15:17:21Z</dcterms:modified>
</cp:coreProperties>
</file>