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0" documentId="8_{76EE0932-CCD0-4201-9EF8-7B2196C98FEC}" xr6:coauthVersionLast="47" xr6:coauthVersionMax="47" xr10:uidLastSave="{00000000-0000-0000-0000-000000000000}"/>
  <bookViews>
    <workbookView xWindow="-96" yWindow="0" windowWidth="11712" windowHeight="12336" xr2:uid="{636CE7B7-9BBA-4D4E-B155-5557DF436CB2}"/>
  </bookViews>
  <sheets>
    <sheet name="JU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1" l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E12" i="1"/>
  <c r="E88" i="1" s="1"/>
</calcChain>
</file>

<file path=xl/sharedStrings.xml><?xml version="1.0" encoding="utf-8"?>
<sst xmlns="http://schemas.openxmlformats.org/spreadsheetml/2006/main" count="182" uniqueCount="106">
  <si>
    <t>LAMPIRAN BERITA ACARA STOK OPNAME FISIK PERSEDIAAN</t>
  </si>
  <si>
    <t>Lampiran 1</t>
  </si>
  <si>
    <t xml:space="preserve">Nomor </t>
  </si>
  <si>
    <t>: 2345/UN64.7/LK/2024</t>
  </si>
  <si>
    <t xml:space="preserve">Tanggal </t>
  </si>
  <si>
    <t>: 28 Juni 2024</t>
  </si>
  <si>
    <t>Unit</t>
  </si>
  <si>
    <t>: Fakultas Ilmu Komputer</t>
  </si>
  <si>
    <t xml:space="preserve">LAPORAN STOCK OPNAME </t>
  </si>
  <si>
    <t>UNTUK PERIODE YANG BERAKHIR TANGGAL  28 JUNI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</si>
  <si>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</si>
  <si>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</si>
  <si>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</si>
  <si>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</si>
  <si>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</si>
  <si>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</si>
  <si>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</si>
  <si>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</si>
  <si>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</si>
  <si>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</si>
  <si>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</si>
  <si>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>V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</si>
  <si>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</si>
  <si>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</si>
  <si>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</si>
  <si>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</si>
  <si>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</si>
  <si>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</si>
  <si>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</si>
  <si>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</si>
  <si>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</si>
  <si>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</si>
  <si>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</si>
  <si>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</si>
  <si>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</si>
  <si>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</si>
  <si>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</si>
  <si>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</si>
  <si>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</si>
  <si>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</si>
  <si>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</si>
  <si>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</si>
  <si>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</si>
  <si>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</si>
  <si>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Flashdisk 128 Gb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</si>
  <si>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</si>
  <si>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</si>
  <si>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</si>
  <si>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</si>
  <si>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</si>
  <si>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</si>
  <si>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</si>
  <si>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</si>
  <si>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</si>
  <si>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</si>
  <si>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</si>
  <si>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</si>
  <si>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</si>
  <si>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</si>
  <si>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</si>
  <si>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</si>
  <si>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</si>
  <si>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</si>
  <si>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Mouse WIRELLES</t>
  </si>
  <si>
    <t>Note Book (Agenda)</t>
  </si>
  <si>
    <t>Paper Clip Trigonal No.1</t>
  </si>
  <si>
    <t>Paper Clip Trigonal No.3</t>
  </si>
  <si>
    <t>Paper Clip Trigonal No.5</t>
  </si>
  <si>
    <t>Penggaris Besi 30 Cm</t>
  </si>
  <si>
    <t>Penghapus Whiteboard</t>
  </si>
  <si>
    <t>Pos It Sign Here 3M</t>
  </si>
  <si>
    <t>Post It Flags</t>
  </si>
  <si>
    <t>Post It Warna Warni Ukuran Sedang</t>
  </si>
  <si>
    <t>Spidol Permanent</t>
  </si>
  <si>
    <t>Spidol Whiteboard Biru</t>
  </si>
  <si>
    <t>Spidol Whiteboard Hitam</t>
  </si>
  <si>
    <t>Stapler No. 10 (Kecil)</t>
  </si>
  <si>
    <t>Stapler No. 3 (Sedang)</t>
  </si>
  <si>
    <t>Tip-Ex</t>
  </si>
  <si>
    <t>Tip-Ex Kertas (Correction Tape)</t>
  </si>
  <si>
    <t>Tom &amp; Jerry Label Stiker No.100</t>
  </si>
  <si>
    <t>Penggaris Besi 60cm</t>
  </si>
  <si>
    <t>Tom &amp; Jerry Label Stiker No.101</t>
  </si>
  <si>
    <t>Isi Stapler No. 3 (Sedang)</t>
  </si>
  <si>
    <t>Kertas Foto Inkjet Paper</t>
  </si>
  <si>
    <t>Kertas (kertas concorde) putih</t>
  </si>
  <si>
    <t>Hdmi To VGA</t>
  </si>
  <si>
    <t>Tinta Stempel Automatic Warna Biru</t>
  </si>
  <si>
    <t>Tinta Stempel Automatic Warna Ungu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</si>
  <si>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</si>
  <si>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</si>
  <si>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</si>
  <si>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</si>
  <si>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</si>
  <si>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</si>
  <si>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</si>
  <si>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EPSON 001 Yellow</t>
  </si>
  <si>
    <t xml:space="preserve"> </t>
  </si>
  <si>
    <t>Mengetahui,</t>
  </si>
  <si>
    <t>A.n Dekan</t>
  </si>
  <si>
    <t>Operator Persediaan</t>
  </si>
  <si>
    <t>Wakil Dekan Bidang Umum dan Keuangan</t>
  </si>
  <si>
    <t>Betha Nurina Sari, M.Kom.</t>
  </si>
  <si>
    <t>M Rizki Fauzi S, S.Pd.</t>
  </si>
  <si>
    <t>NIP. 198910232018032001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</si>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</sst>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Bookman Old Style"/>
    </font>
    <font>
      <sz val="11"/>
      <color theme="1"/>
      <name val="Bookman Old Style"/>
    </font>
    <font>
      <i/>
      <sz val="12"/>
      <color theme="1"/>
      <name val="Bookman Old Style"/>
    </font>
    <font>
      <sz val="11"/>
      <name val="Calibri"/>
    </font>
    <font>
      <i/>
      <sz val="11"/>
      <color theme="1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sz val="14"/>
      <color theme="1"/>
      <name val="Bookman Old Style"/>
    </font>
    <font>
      <b/>
      <sz val="12"/>
      <color rgb="FF000000"/>
      <name val="Bookman Old Style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Calibri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2" borderId="6" xfId="0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1" fillId="3" borderId="4" xfId="0" applyFont="1" applyFill="1" applyBorder="1"/>
    <xf numFmtId="0" fontId="11" fillId="3" borderId="4" xfId="0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3" fontId="10" fillId="3" borderId="4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2" fillId="0" borderId="4" xfId="0" applyFont="1" applyBorder="1"/>
    <xf numFmtId="0" fontId="11" fillId="3" borderId="7" xfId="0" applyFont="1" applyFill="1" applyBorder="1"/>
    <xf numFmtId="0" fontId="10" fillId="3" borderId="7" xfId="0" applyFont="1" applyFill="1" applyBorder="1" applyAlignment="1">
      <alignment horizontal="center"/>
    </xf>
    <xf numFmtId="3" fontId="11" fillId="3" borderId="7" xfId="0" applyNumberFormat="1" applyFont="1" applyFill="1" applyBorder="1" applyAlignment="1">
      <alignment horizontal="center"/>
    </xf>
    <xf numFmtId="0" fontId="12" fillId="0" borderId="7" xfId="0" applyFont="1" applyBorder="1"/>
    <xf numFmtId="0" fontId="11" fillId="3" borderId="7" xfId="0" applyFont="1" applyFill="1" applyBorder="1" applyAlignment="1">
      <alignment horizontal="center"/>
    </xf>
    <xf numFmtId="0" fontId="12" fillId="3" borderId="7" xfId="0" applyFont="1" applyFill="1" applyBorder="1"/>
    <xf numFmtId="0" fontId="10" fillId="3" borderId="7" xfId="0" applyFont="1" applyFill="1" applyBorder="1"/>
    <xf numFmtId="3" fontId="10" fillId="3" borderId="7" xfId="0" applyNumberFormat="1" applyFont="1" applyFill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0" fontId="12" fillId="0" borderId="0" xfId="0" applyFont="1"/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B474-DDA8-4507-8196-984E2DB24E29}">
  <dimension ref="A1:Z1000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6" t="s">
        <v>0</v>
      </c>
      <c r="B2" s="7"/>
      <c r="C2" s="7"/>
      <c r="D2" s="7"/>
      <c r="E2" s="7"/>
      <c r="F2" s="4"/>
      <c r="G2" s="8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>
      <c r="A3" s="9" t="s">
        <v>2</v>
      </c>
      <c r="B3" s="9" t="s">
        <v>3</v>
      </c>
      <c r="C3" s="10"/>
      <c r="D3" s="10"/>
      <c r="E3" s="10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>
      <c r="A4" s="9" t="s">
        <v>4</v>
      </c>
      <c r="B4" s="9" t="s">
        <v>5</v>
      </c>
      <c r="C4" s="10"/>
      <c r="D4" s="10"/>
      <c r="E4" s="10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>
      <c r="A5" s="9" t="s">
        <v>6</v>
      </c>
      <c r="B5" s="11" t="s">
        <v>7</v>
      </c>
      <c r="C5" s="12"/>
      <c r="D5" s="12"/>
      <c r="E5" s="1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>
      <c r="A6" s="13" t="s">
        <v>8</v>
      </c>
      <c r="B6" s="14"/>
      <c r="C6" s="14"/>
      <c r="D6" s="14"/>
      <c r="E6" s="1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>
      <c r="A7" s="13" t="s">
        <v>9</v>
      </c>
      <c r="B7" s="14"/>
      <c r="C7" s="14"/>
      <c r="D7" s="14"/>
      <c r="E7" s="1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>
      <c r="A8" s="13" t="s">
        <v>10</v>
      </c>
      <c r="B8" s="14"/>
      <c r="C8" s="14"/>
      <c r="D8" s="14"/>
      <c r="E8" s="1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399999999999999">
      <c r="A9" s="15"/>
      <c r="B9" s="16"/>
      <c r="C9" s="17"/>
      <c r="D9" s="17"/>
      <c r="E9" s="17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" customHeight="1">
      <c r="A10" s="18" t="s">
        <v>11</v>
      </c>
      <c r="B10" s="19" t="s">
        <v>12</v>
      </c>
      <c r="C10" s="20" t="s">
        <v>13</v>
      </c>
      <c r="D10" s="21"/>
      <c r="E10" s="22"/>
      <c r="F10" s="23" t="s">
        <v>14</v>
      </c>
      <c r="G10" s="2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3.5" customHeight="1">
      <c r="A11" s="24"/>
      <c r="B11" s="24"/>
      <c r="C11" s="25" t="s">
        <v>15</v>
      </c>
      <c r="D11" s="26" t="s">
        <v>16</v>
      </c>
      <c r="E11" s="27" t="s">
        <v>17</v>
      </c>
      <c r="F11" s="25" t="s">
        <v>18</v>
      </c>
      <c r="G11" s="25" t="s">
        <v>19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>
      <c r="A12" s="28">
        <v>1</v>
      </c>
      <c r="B12" s="29" t="s">
        <v>20</v>
      </c>
      <c r="C12" s="30">
        <v>2</v>
      </c>
      <c r="D12" s="31">
        <v>46454</v>
      </c>
      <c r="E12" s="32">
        <f t="shared" ref="E12:E87" si="0">D12*C12</f>
        <v>92908</v>
      </c>
      <c r="F12" s="33" t="s">
        <v>21</v>
      </c>
      <c r="G12" s="3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>
      <c r="A13" s="28">
        <f t="shared" ref="A13:A76" si="1">A12+1</f>
        <v>2</v>
      </c>
      <c r="B13" s="35" t="s">
        <v>22</v>
      </c>
      <c r="C13" s="36">
        <v>1</v>
      </c>
      <c r="D13" s="37">
        <v>19592</v>
      </c>
      <c r="E13" s="32">
        <f t="shared" si="0"/>
        <v>19592</v>
      </c>
      <c r="F13" s="33" t="s">
        <v>21</v>
      </c>
      <c r="G13" s="3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>
      <c r="A14" s="28">
        <f t="shared" si="1"/>
        <v>3</v>
      </c>
      <c r="B14" s="35" t="s">
        <v>23</v>
      </c>
      <c r="C14" s="36">
        <v>2</v>
      </c>
      <c r="D14" s="37">
        <v>22089</v>
      </c>
      <c r="E14" s="32">
        <f t="shared" si="0"/>
        <v>44178</v>
      </c>
      <c r="F14" s="33" t="s">
        <v>21</v>
      </c>
      <c r="G14" s="3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>
      <c r="A15" s="28">
        <f t="shared" si="1"/>
        <v>4</v>
      </c>
      <c r="B15" s="35" t="s">
        <v>24</v>
      </c>
      <c r="C15" s="36">
        <v>2</v>
      </c>
      <c r="D15" s="37">
        <v>26307</v>
      </c>
      <c r="E15" s="32">
        <f t="shared" si="0"/>
        <v>52614</v>
      </c>
      <c r="F15" s="33" t="s">
        <v>21</v>
      </c>
      <c r="G15" s="3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>
      <c r="A16" s="28">
        <f t="shared" si="1"/>
        <v>5</v>
      </c>
      <c r="B16" s="35" t="s">
        <v>25</v>
      </c>
      <c r="C16" s="39">
        <v>47</v>
      </c>
      <c r="D16" s="37">
        <v>19601</v>
      </c>
      <c r="E16" s="32">
        <f t="shared" si="0"/>
        <v>921247</v>
      </c>
      <c r="F16" s="33" t="s">
        <v>21</v>
      </c>
      <c r="G16" s="3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>
      <c r="A17" s="28">
        <f t="shared" si="1"/>
        <v>6</v>
      </c>
      <c r="B17" s="35" t="s">
        <v>26</v>
      </c>
      <c r="C17" s="39">
        <v>75</v>
      </c>
      <c r="D17" s="37">
        <v>19601</v>
      </c>
      <c r="E17" s="32">
        <f t="shared" si="0"/>
        <v>1470075</v>
      </c>
      <c r="F17" s="33" t="s">
        <v>21</v>
      </c>
      <c r="G17" s="3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>
      <c r="A18" s="28">
        <f t="shared" si="1"/>
        <v>7</v>
      </c>
      <c r="B18" s="35" t="s">
        <v>27</v>
      </c>
      <c r="C18" s="39">
        <v>56</v>
      </c>
      <c r="D18" s="37">
        <v>4440</v>
      </c>
      <c r="E18" s="32">
        <f t="shared" si="0"/>
        <v>248640</v>
      </c>
      <c r="F18" s="33" t="s">
        <v>21</v>
      </c>
      <c r="G18" s="3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>
      <c r="A19" s="28">
        <f t="shared" si="1"/>
        <v>8</v>
      </c>
      <c r="B19" s="35" t="s">
        <v>28</v>
      </c>
      <c r="C19" s="39">
        <v>73</v>
      </c>
      <c r="D19" s="37">
        <v>4440</v>
      </c>
      <c r="E19" s="32">
        <f t="shared" si="0"/>
        <v>324120</v>
      </c>
      <c r="F19" s="33" t="s">
        <v>21</v>
      </c>
      <c r="G19" s="3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>
      <c r="A20" s="28">
        <f t="shared" si="1"/>
        <v>9</v>
      </c>
      <c r="B20" s="35" t="s">
        <v>29</v>
      </c>
      <c r="C20" s="39">
        <v>6</v>
      </c>
      <c r="D20" s="37">
        <v>55691</v>
      </c>
      <c r="E20" s="32">
        <f t="shared" si="0"/>
        <v>334146</v>
      </c>
      <c r="F20" s="33" t="s">
        <v>21</v>
      </c>
      <c r="G20" s="3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8">
        <f t="shared" si="1"/>
        <v>10</v>
      </c>
      <c r="B21" s="35" t="s">
        <v>30</v>
      </c>
      <c r="C21" s="39">
        <v>11</v>
      </c>
      <c r="D21" s="37">
        <v>55691</v>
      </c>
      <c r="E21" s="32">
        <f t="shared" si="0"/>
        <v>612601</v>
      </c>
      <c r="F21" s="33" t="s">
        <v>21</v>
      </c>
      <c r="G21" s="3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28">
        <f t="shared" si="1"/>
        <v>11</v>
      </c>
      <c r="B22" s="35" t="s">
        <v>31</v>
      </c>
      <c r="C22" s="36">
        <v>12</v>
      </c>
      <c r="D22" s="37">
        <v>14985</v>
      </c>
      <c r="E22" s="32">
        <f t="shared" si="0"/>
        <v>179820</v>
      </c>
      <c r="F22" s="33" t="s">
        <v>21</v>
      </c>
      <c r="G22" s="3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8">
        <f t="shared" si="1"/>
        <v>12</v>
      </c>
      <c r="B23" s="35" t="s">
        <v>32</v>
      </c>
      <c r="C23" s="36">
        <v>8</v>
      </c>
      <c r="D23" s="37">
        <v>27956</v>
      </c>
      <c r="E23" s="32">
        <f t="shared" si="0"/>
        <v>223648</v>
      </c>
      <c r="F23" s="33" t="s">
        <v>21</v>
      </c>
      <c r="G23" s="3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28">
        <f t="shared" si="1"/>
        <v>13</v>
      </c>
      <c r="B24" s="35" t="s">
        <v>33</v>
      </c>
      <c r="C24" s="36">
        <v>11</v>
      </c>
      <c r="D24" s="37">
        <v>4079</v>
      </c>
      <c r="E24" s="32">
        <f t="shared" si="0"/>
        <v>44869</v>
      </c>
      <c r="F24" s="33" t="s">
        <v>21</v>
      </c>
      <c r="G24" s="3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8">
        <f t="shared" si="1"/>
        <v>14</v>
      </c>
      <c r="B25" s="35" t="s">
        <v>34</v>
      </c>
      <c r="C25" s="36">
        <v>14</v>
      </c>
      <c r="D25" s="37">
        <v>3441</v>
      </c>
      <c r="E25" s="32">
        <f t="shared" si="0"/>
        <v>48174</v>
      </c>
      <c r="F25" s="33" t="s">
        <v>21</v>
      </c>
      <c r="G25" s="3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8">
        <f t="shared" si="1"/>
        <v>15</v>
      </c>
      <c r="B26" s="35" t="s">
        <v>35</v>
      </c>
      <c r="C26" s="36">
        <v>15</v>
      </c>
      <c r="D26" s="37">
        <v>6660</v>
      </c>
      <c r="E26" s="32">
        <f t="shared" si="0"/>
        <v>99900</v>
      </c>
      <c r="F26" s="33" t="s">
        <v>21</v>
      </c>
      <c r="G26" s="3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28">
        <f t="shared" si="1"/>
        <v>16</v>
      </c>
      <c r="B27" s="35" t="s">
        <v>36</v>
      </c>
      <c r="C27" s="36">
        <v>14</v>
      </c>
      <c r="D27" s="37">
        <v>8270</v>
      </c>
      <c r="E27" s="32">
        <f t="shared" si="0"/>
        <v>115780</v>
      </c>
      <c r="F27" s="33" t="s">
        <v>21</v>
      </c>
      <c r="G27" s="3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28">
        <f t="shared" si="1"/>
        <v>17</v>
      </c>
      <c r="B28" s="35" t="s">
        <v>37</v>
      </c>
      <c r="C28" s="36">
        <v>6</v>
      </c>
      <c r="D28" s="37">
        <v>14874</v>
      </c>
      <c r="E28" s="32">
        <f t="shared" si="0"/>
        <v>89244</v>
      </c>
      <c r="F28" s="33" t="s">
        <v>21</v>
      </c>
      <c r="G28" s="3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28">
        <f t="shared" si="1"/>
        <v>18</v>
      </c>
      <c r="B29" s="35" t="s">
        <v>38</v>
      </c>
      <c r="C29" s="36">
        <v>12</v>
      </c>
      <c r="D29" s="37">
        <v>19425</v>
      </c>
      <c r="E29" s="32">
        <f t="shared" si="0"/>
        <v>233100</v>
      </c>
      <c r="F29" s="33" t="s">
        <v>21</v>
      </c>
      <c r="G29" s="3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28">
        <f t="shared" si="1"/>
        <v>19</v>
      </c>
      <c r="B30" s="35" t="s">
        <v>39</v>
      </c>
      <c r="C30" s="39">
        <v>4</v>
      </c>
      <c r="D30" s="37">
        <v>17205</v>
      </c>
      <c r="E30" s="32">
        <f t="shared" si="0"/>
        <v>68820</v>
      </c>
      <c r="F30" s="33" t="s">
        <v>21</v>
      </c>
      <c r="G30" s="3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28">
        <f t="shared" si="1"/>
        <v>20</v>
      </c>
      <c r="B31" s="35" t="s">
        <v>40</v>
      </c>
      <c r="C31" s="39">
        <v>2</v>
      </c>
      <c r="D31" s="37">
        <v>6549</v>
      </c>
      <c r="E31" s="32">
        <f t="shared" si="0"/>
        <v>13098</v>
      </c>
      <c r="F31" s="33" t="s">
        <v>21</v>
      </c>
      <c r="G31" s="3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28">
        <f t="shared" si="1"/>
        <v>21</v>
      </c>
      <c r="B32" s="35" t="s">
        <v>41</v>
      </c>
      <c r="C32" s="36">
        <v>2</v>
      </c>
      <c r="D32" s="37">
        <v>31635</v>
      </c>
      <c r="E32" s="32">
        <f t="shared" si="0"/>
        <v>63270</v>
      </c>
      <c r="F32" s="33" t="s">
        <v>21</v>
      </c>
      <c r="G32" s="3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28">
        <f t="shared" si="1"/>
        <v>22</v>
      </c>
      <c r="B33" s="35" t="s">
        <v>42</v>
      </c>
      <c r="C33" s="39">
        <v>7</v>
      </c>
      <c r="D33" s="37">
        <v>6105</v>
      </c>
      <c r="E33" s="32">
        <f t="shared" si="0"/>
        <v>42735</v>
      </c>
      <c r="F33" s="33" t="s">
        <v>21</v>
      </c>
      <c r="G33" s="4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28">
        <f t="shared" si="1"/>
        <v>23</v>
      </c>
      <c r="B34" s="35" t="s">
        <v>43</v>
      </c>
      <c r="C34" s="36">
        <v>6</v>
      </c>
      <c r="D34" s="37">
        <v>12210</v>
      </c>
      <c r="E34" s="32">
        <f t="shared" si="0"/>
        <v>73260</v>
      </c>
      <c r="F34" s="33" t="s">
        <v>21</v>
      </c>
      <c r="G34" s="3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28">
        <f t="shared" si="1"/>
        <v>24</v>
      </c>
      <c r="B35" s="35" t="s">
        <v>44</v>
      </c>
      <c r="C35" s="36">
        <v>1</v>
      </c>
      <c r="D35" s="37">
        <v>207570</v>
      </c>
      <c r="E35" s="32">
        <f t="shared" si="0"/>
        <v>207570</v>
      </c>
      <c r="F35" s="33" t="s">
        <v>21</v>
      </c>
      <c r="G35" s="3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28">
        <f t="shared" si="1"/>
        <v>25</v>
      </c>
      <c r="B36" s="35" t="s">
        <v>45</v>
      </c>
      <c r="C36" s="39">
        <v>7</v>
      </c>
      <c r="D36" s="37">
        <v>29859</v>
      </c>
      <c r="E36" s="32">
        <f t="shared" si="0"/>
        <v>209013</v>
      </c>
      <c r="F36" s="33" t="s">
        <v>21</v>
      </c>
      <c r="G36" s="3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28">
        <f t="shared" si="1"/>
        <v>26</v>
      </c>
      <c r="B37" s="35" t="s">
        <v>46</v>
      </c>
      <c r="C37" s="39">
        <v>4</v>
      </c>
      <c r="D37" s="37">
        <v>14319</v>
      </c>
      <c r="E37" s="32">
        <f t="shared" si="0"/>
        <v>57276</v>
      </c>
      <c r="F37" s="33" t="s">
        <v>21</v>
      </c>
      <c r="G37" s="3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28">
        <f t="shared" si="1"/>
        <v>27</v>
      </c>
      <c r="B38" s="35" t="s">
        <v>47</v>
      </c>
      <c r="C38" s="39">
        <v>5</v>
      </c>
      <c r="D38" s="37">
        <v>11378</v>
      </c>
      <c r="E38" s="32">
        <f t="shared" si="0"/>
        <v>56890</v>
      </c>
      <c r="F38" s="33" t="s">
        <v>21</v>
      </c>
      <c r="G38" s="3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28">
        <f t="shared" si="1"/>
        <v>28</v>
      </c>
      <c r="B39" s="35" t="s">
        <v>48</v>
      </c>
      <c r="C39" s="39">
        <v>3</v>
      </c>
      <c r="D39" s="37">
        <v>5826</v>
      </c>
      <c r="E39" s="32">
        <f t="shared" si="0"/>
        <v>17478</v>
      </c>
      <c r="F39" s="33" t="s">
        <v>21</v>
      </c>
      <c r="G39" s="3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28">
        <f t="shared" si="1"/>
        <v>29</v>
      </c>
      <c r="B40" s="35" t="s">
        <v>49</v>
      </c>
      <c r="C40" s="39">
        <v>3</v>
      </c>
      <c r="D40" s="37">
        <v>4440</v>
      </c>
      <c r="E40" s="32">
        <f t="shared" si="0"/>
        <v>13320</v>
      </c>
      <c r="F40" s="33" t="s">
        <v>21</v>
      </c>
      <c r="G40" s="3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28">
        <f t="shared" si="1"/>
        <v>30</v>
      </c>
      <c r="B41" s="35" t="s">
        <v>50</v>
      </c>
      <c r="C41" s="36">
        <v>14</v>
      </c>
      <c r="D41" s="37">
        <v>62049</v>
      </c>
      <c r="E41" s="32">
        <f t="shared" si="0"/>
        <v>868686</v>
      </c>
      <c r="F41" s="33" t="s">
        <v>21</v>
      </c>
      <c r="G41" s="3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28">
        <f t="shared" si="1"/>
        <v>31</v>
      </c>
      <c r="B42" s="35" t="s">
        <v>51</v>
      </c>
      <c r="C42" s="39">
        <v>20</v>
      </c>
      <c r="D42" s="37">
        <v>73815</v>
      </c>
      <c r="E42" s="32">
        <f t="shared" si="0"/>
        <v>1476300</v>
      </c>
      <c r="F42" s="33" t="s">
        <v>21</v>
      </c>
      <c r="G42" s="3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28">
        <f t="shared" si="1"/>
        <v>32</v>
      </c>
      <c r="B43" s="35" t="s">
        <v>52</v>
      </c>
      <c r="C43" s="36">
        <v>6</v>
      </c>
      <c r="D43" s="37">
        <v>72150</v>
      </c>
      <c r="E43" s="32">
        <f t="shared" si="0"/>
        <v>432900</v>
      </c>
      <c r="F43" s="33" t="s">
        <v>21</v>
      </c>
      <c r="G43" s="3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28">
        <f t="shared" si="1"/>
        <v>33</v>
      </c>
      <c r="B44" s="35" t="s">
        <v>53</v>
      </c>
      <c r="C44" s="39">
        <v>15</v>
      </c>
      <c r="D44" s="37">
        <v>72150</v>
      </c>
      <c r="E44" s="32">
        <f t="shared" si="0"/>
        <v>1082250</v>
      </c>
      <c r="F44" s="33" t="s">
        <v>21</v>
      </c>
      <c r="G44" s="3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28">
        <f t="shared" si="1"/>
        <v>34</v>
      </c>
      <c r="B45" s="35" t="s">
        <v>54</v>
      </c>
      <c r="C45" s="36">
        <v>8</v>
      </c>
      <c r="D45" s="37">
        <v>88800</v>
      </c>
      <c r="E45" s="32">
        <f t="shared" si="0"/>
        <v>710400</v>
      </c>
      <c r="F45" s="33" t="s">
        <v>21</v>
      </c>
      <c r="G45" s="3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28">
        <f t="shared" si="1"/>
        <v>35</v>
      </c>
      <c r="B46" s="35" t="s">
        <v>55</v>
      </c>
      <c r="C46" s="36">
        <v>2</v>
      </c>
      <c r="D46" s="37">
        <v>32745</v>
      </c>
      <c r="E46" s="32">
        <f t="shared" si="0"/>
        <v>65490</v>
      </c>
      <c r="F46" s="33" t="s">
        <v>21</v>
      </c>
      <c r="G46" s="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28">
        <f t="shared" si="1"/>
        <v>36</v>
      </c>
      <c r="B47" s="35" t="s">
        <v>56</v>
      </c>
      <c r="C47" s="36">
        <v>1</v>
      </c>
      <c r="D47" s="37">
        <v>200910</v>
      </c>
      <c r="E47" s="32">
        <f t="shared" si="0"/>
        <v>200910</v>
      </c>
      <c r="F47" s="33" t="s">
        <v>21</v>
      </c>
      <c r="G47" s="3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28">
        <f t="shared" si="1"/>
        <v>37</v>
      </c>
      <c r="B48" s="35" t="s">
        <v>57</v>
      </c>
      <c r="C48" s="39">
        <v>6</v>
      </c>
      <c r="D48" s="37">
        <v>11543</v>
      </c>
      <c r="E48" s="32">
        <f t="shared" si="0"/>
        <v>69258</v>
      </c>
      <c r="F48" s="33" t="s">
        <v>21</v>
      </c>
      <c r="G48" s="3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28">
        <f t="shared" si="1"/>
        <v>38</v>
      </c>
      <c r="B49" s="35" t="s">
        <v>58</v>
      </c>
      <c r="C49" s="39">
        <v>7</v>
      </c>
      <c r="D49" s="37">
        <v>14430</v>
      </c>
      <c r="E49" s="32">
        <f t="shared" si="0"/>
        <v>101010</v>
      </c>
      <c r="F49" s="33" t="s">
        <v>21</v>
      </c>
      <c r="G49" s="3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28">
        <f t="shared" si="1"/>
        <v>39</v>
      </c>
      <c r="B50" s="35" t="s">
        <v>59</v>
      </c>
      <c r="C50" s="39">
        <v>4</v>
      </c>
      <c r="D50" s="37">
        <v>11655</v>
      </c>
      <c r="E50" s="32">
        <f t="shared" si="0"/>
        <v>46620</v>
      </c>
      <c r="F50" s="33" t="s">
        <v>21</v>
      </c>
      <c r="G50" s="3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28">
        <f t="shared" si="1"/>
        <v>40</v>
      </c>
      <c r="B51" s="35" t="s">
        <v>60</v>
      </c>
      <c r="C51" s="39">
        <v>5</v>
      </c>
      <c r="D51" s="37">
        <v>18315</v>
      </c>
      <c r="E51" s="32">
        <f t="shared" si="0"/>
        <v>91575</v>
      </c>
      <c r="F51" s="33" t="s">
        <v>21</v>
      </c>
      <c r="G51" s="3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28">
        <f t="shared" si="1"/>
        <v>41</v>
      </c>
      <c r="B52" s="35" t="s">
        <v>61</v>
      </c>
      <c r="C52" s="39">
        <v>5</v>
      </c>
      <c r="D52" s="37">
        <v>18815</v>
      </c>
      <c r="E52" s="32">
        <f t="shared" si="0"/>
        <v>94075</v>
      </c>
      <c r="F52" s="33" t="s">
        <v>21</v>
      </c>
      <c r="G52" s="3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28">
        <f t="shared" si="1"/>
        <v>42</v>
      </c>
      <c r="B53" s="35" t="s">
        <v>62</v>
      </c>
      <c r="C53" s="39">
        <v>7</v>
      </c>
      <c r="D53" s="37">
        <v>15540</v>
      </c>
      <c r="E53" s="32">
        <f t="shared" si="0"/>
        <v>108780</v>
      </c>
      <c r="F53" s="33" t="s">
        <v>21</v>
      </c>
      <c r="G53" s="3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28">
        <f t="shared" si="1"/>
        <v>43</v>
      </c>
      <c r="B54" s="35" t="s">
        <v>63</v>
      </c>
      <c r="C54" s="36">
        <v>1</v>
      </c>
      <c r="D54" s="37">
        <v>173583</v>
      </c>
      <c r="E54" s="32">
        <f t="shared" si="0"/>
        <v>173583</v>
      </c>
      <c r="F54" s="33" t="s">
        <v>21</v>
      </c>
      <c r="G54" s="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28">
        <f t="shared" si="1"/>
        <v>44</v>
      </c>
      <c r="B55" s="35" t="s">
        <v>64</v>
      </c>
      <c r="C55" s="39">
        <v>2</v>
      </c>
      <c r="D55" s="37">
        <v>40848</v>
      </c>
      <c r="E55" s="32">
        <f t="shared" si="0"/>
        <v>81696</v>
      </c>
      <c r="F55" s="33" t="s">
        <v>21</v>
      </c>
      <c r="G55" s="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28">
        <f t="shared" si="1"/>
        <v>45</v>
      </c>
      <c r="B56" s="35" t="s">
        <v>65</v>
      </c>
      <c r="C56" s="36">
        <v>13</v>
      </c>
      <c r="D56" s="37">
        <v>2775</v>
      </c>
      <c r="E56" s="32">
        <f t="shared" si="0"/>
        <v>36075</v>
      </c>
      <c r="F56" s="33" t="s">
        <v>21</v>
      </c>
      <c r="G56" s="3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28">
        <f t="shared" si="1"/>
        <v>46</v>
      </c>
      <c r="B57" s="35" t="s">
        <v>66</v>
      </c>
      <c r="C57" s="36">
        <v>15</v>
      </c>
      <c r="D57" s="37">
        <v>4995</v>
      </c>
      <c r="E57" s="32">
        <f t="shared" si="0"/>
        <v>74925</v>
      </c>
      <c r="F57" s="33" t="s">
        <v>21</v>
      </c>
      <c r="G57" s="3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28">
        <f t="shared" si="1"/>
        <v>47</v>
      </c>
      <c r="B58" s="35" t="s">
        <v>67</v>
      </c>
      <c r="C58" s="36">
        <v>19</v>
      </c>
      <c r="D58" s="37">
        <v>11100</v>
      </c>
      <c r="E58" s="32">
        <f t="shared" si="0"/>
        <v>210900</v>
      </c>
      <c r="F58" s="33" t="s">
        <v>21</v>
      </c>
      <c r="G58" s="3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28">
        <f t="shared" si="1"/>
        <v>48</v>
      </c>
      <c r="B59" s="35" t="s">
        <v>68</v>
      </c>
      <c r="C59" s="36">
        <v>1</v>
      </c>
      <c r="D59" s="37">
        <v>7659</v>
      </c>
      <c r="E59" s="32">
        <f t="shared" si="0"/>
        <v>7659</v>
      </c>
      <c r="F59" s="33" t="s">
        <v>21</v>
      </c>
      <c r="G59" s="3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28">
        <f t="shared" si="1"/>
        <v>49</v>
      </c>
      <c r="B60" s="35" t="s">
        <v>69</v>
      </c>
      <c r="C60" s="39">
        <v>5</v>
      </c>
      <c r="D60" s="37">
        <v>10545</v>
      </c>
      <c r="E60" s="32">
        <f t="shared" si="0"/>
        <v>52725</v>
      </c>
      <c r="F60" s="33" t="s">
        <v>21</v>
      </c>
      <c r="G60" s="3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28">
        <f t="shared" si="1"/>
        <v>50</v>
      </c>
      <c r="B61" s="35" t="s">
        <v>70</v>
      </c>
      <c r="C61" s="36">
        <v>5</v>
      </c>
      <c r="D61" s="37">
        <v>24975</v>
      </c>
      <c r="E61" s="32">
        <f t="shared" si="0"/>
        <v>124875</v>
      </c>
      <c r="F61" s="33" t="s">
        <v>21</v>
      </c>
      <c r="G61" s="3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28">
        <f t="shared" si="1"/>
        <v>51</v>
      </c>
      <c r="B62" s="35" t="s">
        <v>71</v>
      </c>
      <c r="C62" s="36">
        <v>7</v>
      </c>
      <c r="D62" s="37">
        <v>26196</v>
      </c>
      <c r="E62" s="32">
        <f t="shared" si="0"/>
        <v>183372</v>
      </c>
      <c r="F62" s="33" t="s">
        <v>21</v>
      </c>
      <c r="G62" s="3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28">
        <f t="shared" si="1"/>
        <v>52</v>
      </c>
      <c r="B63" s="35" t="s">
        <v>72</v>
      </c>
      <c r="C63" s="39">
        <v>5</v>
      </c>
      <c r="D63" s="37">
        <v>26196</v>
      </c>
      <c r="E63" s="32">
        <f t="shared" si="0"/>
        <v>130980</v>
      </c>
      <c r="F63" s="33" t="s">
        <v>21</v>
      </c>
      <c r="G63" s="3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28">
        <f t="shared" si="1"/>
        <v>53</v>
      </c>
      <c r="B64" s="35" t="s">
        <v>73</v>
      </c>
      <c r="C64" s="36">
        <v>5</v>
      </c>
      <c r="D64" s="37">
        <v>108780</v>
      </c>
      <c r="E64" s="32">
        <f t="shared" si="0"/>
        <v>543900</v>
      </c>
      <c r="F64" s="33" t="s">
        <v>21</v>
      </c>
      <c r="G64" s="3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28">
        <f t="shared" si="1"/>
        <v>54</v>
      </c>
      <c r="B65" s="35" t="s">
        <v>74</v>
      </c>
      <c r="C65" s="36">
        <v>13</v>
      </c>
      <c r="D65" s="37">
        <v>194250</v>
      </c>
      <c r="E65" s="32">
        <f t="shared" si="0"/>
        <v>2525250</v>
      </c>
      <c r="F65" s="33" t="s">
        <v>21</v>
      </c>
      <c r="G65" s="3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28">
        <f t="shared" si="1"/>
        <v>55</v>
      </c>
      <c r="B66" s="35" t="s">
        <v>75</v>
      </c>
      <c r="C66" s="39">
        <v>13</v>
      </c>
      <c r="D66" s="37">
        <v>194250</v>
      </c>
      <c r="E66" s="32">
        <f t="shared" si="0"/>
        <v>2525250</v>
      </c>
      <c r="F66" s="33" t="s">
        <v>21</v>
      </c>
      <c r="G66" s="3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28">
        <f t="shared" si="1"/>
        <v>56</v>
      </c>
      <c r="B67" s="35" t="s">
        <v>76</v>
      </c>
      <c r="C67" s="36">
        <v>2</v>
      </c>
      <c r="D67" s="37">
        <v>29859</v>
      </c>
      <c r="E67" s="32">
        <f t="shared" si="0"/>
        <v>59718</v>
      </c>
      <c r="F67" s="33" t="s">
        <v>21</v>
      </c>
      <c r="G67" s="3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28">
        <f t="shared" si="1"/>
        <v>57</v>
      </c>
      <c r="B68" s="35" t="s">
        <v>77</v>
      </c>
      <c r="C68" s="36">
        <v>2</v>
      </c>
      <c r="D68" s="37">
        <v>29415</v>
      </c>
      <c r="E68" s="32">
        <f t="shared" si="0"/>
        <v>58830</v>
      </c>
      <c r="F68" s="33" t="s">
        <v>21</v>
      </c>
      <c r="G68" s="3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28">
        <f t="shared" si="1"/>
        <v>58</v>
      </c>
      <c r="B69" s="35" t="s">
        <v>78</v>
      </c>
      <c r="C69" s="39">
        <v>3</v>
      </c>
      <c r="D69" s="37">
        <v>7770</v>
      </c>
      <c r="E69" s="32">
        <f t="shared" si="0"/>
        <v>23310</v>
      </c>
      <c r="F69" s="33" t="s">
        <v>21</v>
      </c>
      <c r="G69" s="3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28">
        <f t="shared" si="1"/>
        <v>59</v>
      </c>
      <c r="B70" s="35" t="s">
        <v>79</v>
      </c>
      <c r="C70" s="39">
        <v>2</v>
      </c>
      <c r="D70" s="37">
        <v>13208</v>
      </c>
      <c r="E70" s="32">
        <f t="shared" si="0"/>
        <v>26416</v>
      </c>
      <c r="F70" s="33" t="s">
        <v>21</v>
      </c>
      <c r="G70" s="3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28">
        <f t="shared" si="1"/>
        <v>60</v>
      </c>
      <c r="B71" s="35" t="s">
        <v>80</v>
      </c>
      <c r="C71" s="36">
        <v>1</v>
      </c>
      <c r="D71" s="37">
        <v>8880</v>
      </c>
      <c r="E71" s="32">
        <f t="shared" si="0"/>
        <v>8880</v>
      </c>
      <c r="F71" s="33" t="s">
        <v>21</v>
      </c>
      <c r="G71" s="3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28">
        <f t="shared" si="1"/>
        <v>61</v>
      </c>
      <c r="B72" s="35" t="s">
        <v>81</v>
      </c>
      <c r="C72" s="36">
        <v>1</v>
      </c>
      <c r="D72" s="37">
        <v>16262</v>
      </c>
      <c r="E72" s="32">
        <f t="shared" si="0"/>
        <v>16262</v>
      </c>
      <c r="F72" s="33" t="s">
        <v>21</v>
      </c>
      <c r="G72" s="3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28">
        <f t="shared" si="1"/>
        <v>62</v>
      </c>
      <c r="B73" s="35" t="s">
        <v>82</v>
      </c>
      <c r="C73" s="36">
        <v>1</v>
      </c>
      <c r="D73" s="37">
        <v>11100</v>
      </c>
      <c r="E73" s="32">
        <f t="shared" si="0"/>
        <v>11100</v>
      </c>
      <c r="F73" s="33" t="s">
        <v>21</v>
      </c>
      <c r="G73" s="3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28">
        <f t="shared" si="1"/>
        <v>63</v>
      </c>
      <c r="B74" s="41" t="s">
        <v>83</v>
      </c>
      <c r="C74" s="36">
        <v>3</v>
      </c>
      <c r="D74" s="42">
        <v>188370</v>
      </c>
      <c r="E74" s="32">
        <f t="shared" si="0"/>
        <v>565110</v>
      </c>
      <c r="F74" s="33" t="s">
        <v>21</v>
      </c>
      <c r="G74" s="3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28">
        <f t="shared" si="1"/>
        <v>64</v>
      </c>
      <c r="B75" s="41" t="s">
        <v>84</v>
      </c>
      <c r="C75" s="36">
        <v>1</v>
      </c>
      <c r="D75" s="42">
        <v>42753</v>
      </c>
      <c r="E75" s="32">
        <f t="shared" si="0"/>
        <v>42753</v>
      </c>
      <c r="F75" s="33" t="s">
        <v>21</v>
      </c>
      <c r="G75" s="3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28">
        <f t="shared" si="1"/>
        <v>65</v>
      </c>
      <c r="B76" s="41" t="s">
        <v>85</v>
      </c>
      <c r="C76" s="36">
        <v>1</v>
      </c>
      <c r="D76" s="42">
        <v>125000</v>
      </c>
      <c r="E76" s="32">
        <f t="shared" si="0"/>
        <v>125000</v>
      </c>
      <c r="F76" s="33" t="s">
        <v>21</v>
      </c>
      <c r="G76" s="3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28">
        <f t="shared" ref="A77:A87" si="2">A76+1</f>
        <v>66</v>
      </c>
      <c r="B77" s="41" t="s">
        <v>86</v>
      </c>
      <c r="C77" s="36">
        <v>4</v>
      </c>
      <c r="D77" s="42">
        <v>200140</v>
      </c>
      <c r="E77" s="32">
        <f t="shared" si="0"/>
        <v>800560</v>
      </c>
      <c r="F77" s="33" t="s">
        <v>21</v>
      </c>
      <c r="G77" s="3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28">
        <f t="shared" si="2"/>
        <v>67</v>
      </c>
      <c r="B78" s="41" t="s">
        <v>87</v>
      </c>
      <c r="C78" s="36">
        <v>5</v>
      </c>
      <c r="D78" s="43">
        <v>10118</v>
      </c>
      <c r="E78" s="32">
        <f t="shared" si="0"/>
        <v>50590</v>
      </c>
      <c r="F78" s="33" t="s">
        <v>21</v>
      </c>
      <c r="G78" s="3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28">
        <f t="shared" si="2"/>
        <v>68</v>
      </c>
      <c r="B79" s="41" t="s">
        <v>88</v>
      </c>
      <c r="C79" s="36">
        <v>5</v>
      </c>
      <c r="D79" s="43">
        <v>10118</v>
      </c>
      <c r="E79" s="32">
        <f t="shared" si="0"/>
        <v>50590</v>
      </c>
      <c r="F79" s="33" t="s">
        <v>21</v>
      </c>
      <c r="G79" s="3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28">
        <f t="shared" si="2"/>
        <v>69</v>
      </c>
      <c r="B80" s="35" t="s">
        <v>89</v>
      </c>
      <c r="C80" s="36">
        <v>8</v>
      </c>
      <c r="D80" s="37">
        <v>88800</v>
      </c>
      <c r="E80" s="32">
        <f t="shared" si="0"/>
        <v>710400</v>
      </c>
      <c r="F80" s="33" t="s">
        <v>21</v>
      </c>
      <c r="G80" s="3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28">
        <f t="shared" si="2"/>
        <v>70</v>
      </c>
      <c r="B81" s="35" t="s">
        <v>90</v>
      </c>
      <c r="C81" s="36">
        <v>8</v>
      </c>
      <c r="D81" s="37">
        <v>88800</v>
      </c>
      <c r="E81" s="32">
        <f t="shared" si="0"/>
        <v>710400</v>
      </c>
      <c r="F81" s="33" t="s">
        <v>21</v>
      </c>
      <c r="G81" s="3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28">
        <f t="shared" si="2"/>
        <v>71</v>
      </c>
      <c r="B82" s="35" t="s">
        <v>91</v>
      </c>
      <c r="C82" s="36">
        <v>8</v>
      </c>
      <c r="D82" s="37">
        <v>88800</v>
      </c>
      <c r="E82" s="32">
        <f t="shared" si="0"/>
        <v>710400</v>
      </c>
      <c r="F82" s="33" t="s">
        <v>21</v>
      </c>
      <c r="G82" s="3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28">
        <f t="shared" si="2"/>
        <v>72</v>
      </c>
      <c r="B83" s="35" t="s">
        <v>92</v>
      </c>
      <c r="C83" s="36">
        <v>8</v>
      </c>
      <c r="D83" s="37">
        <v>88800</v>
      </c>
      <c r="E83" s="32">
        <f t="shared" si="0"/>
        <v>710400</v>
      </c>
      <c r="F83" s="33" t="s">
        <v>21</v>
      </c>
      <c r="G83" s="3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28">
        <f t="shared" si="2"/>
        <v>73</v>
      </c>
      <c r="B84" s="35" t="s">
        <v>93</v>
      </c>
      <c r="C84" s="36">
        <v>8</v>
      </c>
      <c r="D84" s="37">
        <v>95460</v>
      </c>
      <c r="E84" s="32">
        <f t="shared" si="0"/>
        <v>763680</v>
      </c>
      <c r="F84" s="33" t="s">
        <v>21</v>
      </c>
      <c r="G84" s="3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28">
        <f t="shared" si="2"/>
        <v>74</v>
      </c>
      <c r="B85" s="35" t="s">
        <v>94</v>
      </c>
      <c r="C85" s="36">
        <v>8</v>
      </c>
      <c r="D85" s="37">
        <v>96570</v>
      </c>
      <c r="E85" s="32">
        <f t="shared" si="0"/>
        <v>772560</v>
      </c>
      <c r="F85" s="33" t="s">
        <v>21</v>
      </c>
      <c r="G85" s="3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28">
        <f t="shared" si="2"/>
        <v>75</v>
      </c>
      <c r="B86" s="35" t="s">
        <v>95</v>
      </c>
      <c r="C86" s="36">
        <v>8</v>
      </c>
      <c r="D86" s="37">
        <v>96570</v>
      </c>
      <c r="E86" s="32">
        <f t="shared" si="0"/>
        <v>772560</v>
      </c>
      <c r="F86" s="33" t="s">
        <v>21</v>
      </c>
      <c r="G86" s="3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28">
        <f t="shared" si="2"/>
        <v>76</v>
      </c>
      <c r="B87" s="35" t="s">
        <v>96</v>
      </c>
      <c r="C87" s="36">
        <v>8</v>
      </c>
      <c r="D87" s="37">
        <v>96570</v>
      </c>
      <c r="E87" s="32">
        <f t="shared" si="0"/>
        <v>772560</v>
      </c>
      <c r="F87" s="33" t="s">
        <v>21</v>
      </c>
      <c r="G87" s="3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44"/>
      <c r="B88" s="44"/>
      <c r="C88" s="45" t="s">
        <v>97</v>
      </c>
      <c r="D88" s="46">
        <f t="shared" ref="D88:E88" si="3">SUM(D12:D87)</f>
        <v>3673124</v>
      </c>
      <c r="E88" s="46">
        <f t="shared" si="3"/>
        <v>25758909</v>
      </c>
      <c r="F88" s="47"/>
      <c r="G88" s="4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48"/>
      <c r="C89" s="4" t="s">
        <v>97</v>
      </c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49" t="s">
        <v>98</v>
      </c>
      <c r="C90" s="44"/>
      <c r="D90" s="44"/>
      <c r="E90" s="4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49" t="s">
        <v>99</v>
      </c>
      <c r="C91" s="44"/>
      <c r="D91" s="44"/>
      <c r="E91" s="49" t="s">
        <v>100</v>
      </c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49" t="s">
        <v>101</v>
      </c>
      <c r="C92" s="44"/>
      <c r="D92" s="44"/>
      <c r="E92" s="4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44"/>
      <c r="C93" s="44"/>
      <c r="D93" s="44"/>
      <c r="E93" s="4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44"/>
      <c r="C94" s="44"/>
      <c r="D94" s="44"/>
      <c r="E94" s="4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44"/>
      <c r="C95" s="44"/>
      <c r="D95" s="44"/>
      <c r="E95" s="4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0" t="s">
        <v>102</v>
      </c>
      <c r="C96" s="44"/>
      <c r="D96" s="44"/>
      <c r="E96" s="49" t="s">
        <v>103</v>
      </c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49" t="s">
        <v>104</v>
      </c>
      <c r="C97" s="44"/>
      <c r="D97" s="44"/>
      <c r="E97" s="49" t="s">
        <v>105</v>
      </c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48"/>
      <c r="C98" s="4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48"/>
      <c r="C99" s="4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48"/>
      <c r="C100" s="4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48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48"/>
      <c r="C102" s="4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48"/>
      <c r="C103" s="4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48"/>
      <c r="C104" s="4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48"/>
      <c r="C105" s="4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48"/>
      <c r="C106" s="4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48"/>
      <c r="C107" s="4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48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48"/>
      <c r="C109" s="4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48"/>
      <c r="C110" s="4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48"/>
      <c r="C111" s="4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48"/>
      <c r="C112" s="4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48"/>
      <c r="C113" s="4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48"/>
      <c r="C114" s="4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48"/>
      <c r="C115" s="4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48"/>
      <c r="C116" s="4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48"/>
      <c r="C117" s="4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48"/>
      <c r="C118" s="4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48"/>
      <c r="C119" s="4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48"/>
      <c r="C120" s="4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48"/>
      <c r="C121" s="4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48"/>
      <c r="C122" s="4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48"/>
      <c r="C123" s="4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48"/>
      <c r="C124" s="4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48"/>
      <c r="C125" s="4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48"/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48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48"/>
      <c r="C128" s="4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48"/>
      <c r="C129" s="4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48"/>
      <c r="C130" s="4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48"/>
      <c r="C131" s="4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48"/>
      <c r="C132" s="4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48"/>
      <c r="C133" s="4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48"/>
      <c r="C134" s="4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48"/>
      <c r="C135" s="4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48"/>
      <c r="C136" s="4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48"/>
      <c r="C137" s="4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48"/>
      <c r="C138" s="4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48"/>
      <c r="C139" s="4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48"/>
      <c r="C140" s="4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48"/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48"/>
      <c r="C142" s="4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48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48"/>
      <c r="C144" s="4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48"/>
      <c r="C145" s="4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48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48"/>
      <c r="C147" s="4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48"/>
      <c r="C148" s="4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48"/>
      <c r="C149" s="4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48"/>
      <c r="C150" s="4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48"/>
      <c r="C151" s="4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48"/>
      <c r="C152" s="4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48"/>
      <c r="C153" s="4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48"/>
      <c r="C154" s="4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48"/>
      <c r="C155" s="4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48"/>
      <c r="C156" s="4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48"/>
      <c r="C157" s="4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48"/>
      <c r="C158" s="4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48"/>
      <c r="C159" s="4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48"/>
      <c r="C160" s="4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48"/>
      <c r="C161" s="4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48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48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48"/>
      <c r="C164" s="4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48"/>
      <c r="C165" s="4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48"/>
      <c r="C166" s="4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48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48"/>
      <c r="C168" s="4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48"/>
      <c r="C169" s="4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48"/>
      <c r="C170" s="4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48"/>
      <c r="C171" s="4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48"/>
      <c r="C172" s="4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48"/>
      <c r="C173" s="4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48"/>
      <c r="C174" s="4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48"/>
      <c r="C175" s="4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48"/>
      <c r="C176" s="4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48"/>
      <c r="C177" s="4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48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48"/>
      <c r="C179" s="4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48"/>
      <c r="C180" s="4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48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48"/>
      <c r="C182" s="4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48"/>
      <c r="C183" s="4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48"/>
      <c r="C184" s="4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48"/>
      <c r="C185" s="4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48"/>
      <c r="C186" s="4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48"/>
      <c r="C187" s="4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48"/>
      <c r="C188" s="4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48"/>
      <c r="C189" s="4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48"/>
      <c r="C190" s="4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48"/>
      <c r="C191" s="4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48"/>
      <c r="C192" s="4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48"/>
      <c r="C193" s="4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48"/>
      <c r="C194" s="4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48"/>
      <c r="C195" s="4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48"/>
      <c r="C196" s="4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48"/>
      <c r="C197" s="4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48"/>
      <c r="C198" s="4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48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48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48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48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48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48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48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48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48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48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48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48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48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48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48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48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48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48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48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48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48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48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48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48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48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48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48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48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48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48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48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48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48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48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48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48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48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48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48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48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48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48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48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48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48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48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48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48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48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48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48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48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48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48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48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48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48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48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48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48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48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48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48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48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48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48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48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48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48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48"/>
      <c r="C268" s="4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48"/>
      <c r="C269" s="4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48"/>
      <c r="C270" s="4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48"/>
      <c r="C271" s="4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48"/>
      <c r="C272" s="4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48"/>
      <c r="C273" s="4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48"/>
      <c r="C274" s="4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48"/>
      <c r="C275" s="4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48"/>
      <c r="C276" s="4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48"/>
      <c r="C277" s="4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48"/>
      <c r="C278" s="4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48"/>
      <c r="C279" s="4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48"/>
      <c r="C280" s="4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48"/>
      <c r="C281" s="4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48"/>
      <c r="C282" s="4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48"/>
      <c r="C283" s="4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48"/>
      <c r="C284" s="4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48"/>
      <c r="C285" s="4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48"/>
      <c r="C286" s="4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48"/>
      <c r="C287" s="4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48"/>
      <c r="C288" s="4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48"/>
      <c r="C289" s="4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48"/>
      <c r="C290" s="4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48"/>
      <c r="C291" s="4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48"/>
      <c r="C292" s="4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48"/>
      <c r="C293" s="4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48"/>
      <c r="C294" s="4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48"/>
      <c r="C295" s="4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48"/>
      <c r="C296" s="4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48"/>
      <c r="C297" s="4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2026-03-28T15:15:49Z</dcterms:created>
  <dcterms:modified xsi:type="dcterms:W3CDTF">2026-03-28T15:16:18Z</dcterms:modified>
</cp:coreProperties>
</file>