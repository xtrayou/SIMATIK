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D75ED8DD05811C/Dokumen/"/>
    </mc:Choice>
  </mc:AlternateContent>
  <xr:revisionPtr revIDLastSave="0" documentId="8_{1FECAF17-E24D-48C9-8375-A2DE6DD5A547}" xr6:coauthVersionLast="47" xr6:coauthVersionMax="47" xr10:uidLastSave="{00000000-0000-0000-0000-000000000000}"/>
  <bookViews>
    <workbookView xWindow="-96" yWindow="0" windowWidth="11712" windowHeight="12336" xr2:uid="{E6312500-9FB0-4948-925A-76913683A6C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3" i="1" l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E12" i="1"/>
  <c r="E83" i="1" s="1"/>
</calcChain>
</file>

<file path=xl/sharedStrings.xml><?xml version="1.0" encoding="utf-8"?>
<sst xmlns="http://schemas.openxmlformats.org/spreadsheetml/2006/main" count="171" uniqueCount="101">
  <si>
    <t>LAMPIRAN BERITA ACARA STOK OPNAME FISIK PERSEDIAAN</t>
  </si>
  <si>
    <t>Lampiran 1</t>
  </si>
  <si>
    <t xml:space="preserve">Nomor </t>
  </si>
  <si>
    <t>: 3970/UN64.7/LK/2024</t>
  </si>
  <si>
    <t xml:space="preserve">Tanggal </t>
  </si>
  <si>
    <t>: 26 September 2024</t>
  </si>
  <si>
    <t>Unit</t>
  </si>
  <si>
    <t>: Fakultas Ilmu Komputer</t>
  </si>
  <si>
    <t xml:space="preserve">LAPORAN STOCK OPNAME </t>
  </si>
  <si>
    <t>UNTUK PERIODE YANG BERAKHIR TANGGAL  26 SEPTEMBER 2024</t>
  </si>
  <si>
    <t>TAHUN ANGGARAN</t>
  </si>
  <si>
    <t>No</t>
  </si>
  <si>
    <t>Jenis Barang</t>
  </si>
  <si>
    <t>Hasil Stock Opname</t>
  </si>
  <si>
    <t xml:space="preserve">Kondisi Barang </t>
  </si>
  <si>
    <t>Jumlah</t>
  </si>
  <si>
    <t xml:space="preserve"> Harga Satuan</t>
  </si>
  <si>
    <t>Total Harga</t>
  </si>
  <si>
    <t>Baik</t>
  </si>
  <si>
    <t>Rusak /Usang</t>
  </si>
  <si>
    <t>Amplop Coklat F4 Polos</t>
  </si>
  <si>
    <t>V</t>
  </si>
  <si>
    <t>Amplop Polos Putih No.104</t>
  </si>
  <si>
    <t>Amplop Polos Putih No.110</t>
  </si>
  <si>
    <t>Amplop Polos Putih No.90</t>
  </si>
  <si>
    <t>Balliner Biru Bergaris Medium</t>
  </si>
  <si>
    <t>Balliner Hitam Bergaris Medium</t>
  </si>
  <si>
    <t>Ballpoin Warna Biru</t>
  </si>
  <si>
    <t>Ballpoin Warna Hitam</t>
  </si>
  <si>
    <t>Bantex Box File Warna Maroon</t>
  </si>
  <si>
    <t>Bantex Ordner Warna Maroon</t>
  </si>
  <si>
    <t>Baterai Alkaline Size AA LR6 1.5V Isi 2</t>
  </si>
  <si>
    <t>Baterai Alkaline Size AAA LR6 1.5V Isi 2</t>
  </si>
  <si>
    <t>Binder Clip 105</t>
  </si>
  <si>
    <t>Binder Clip 107</t>
  </si>
  <si>
    <t>Binder Clip 111</t>
  </si>
  <si>
    <t>Binder Clip 155</t>
  </si>
  <si>
    <t>Binder Clip 200</t>
  </si>
  <si>
    <t>Binder Clip 260 (1 dus = 12 pcs)</t>
  </si>
  <si>
    <t>Cutter pisau besar L.500</t>
  </si>
  <si>
    <t>Cutter pisau Kecil L.300</t>
  </si>
  <si>
    <t>Dispenser Tape Sedang No. 50</t>
  </si>
  <si>
    <t>Double Tape Ukuran 1 Inchi</t>
  </si>
  <si>
    <t>Double Tape Ukuran 2 Inchi</t>
  </si>
  <si>
    <t>Glossy Photo Paper A4 isi 20</t>
  </si>
  <si>
    <t>Gunting Kertas Besar</t>
  </si>
  <si>
    <t>Gunting Kertas Kecil</t>
  </si>
  <si>
    <t>Isi Cutter Besar L500</t>
  </si>
  <si>
    <t>Isi Cutter Kecil L300</t>
  </si>
  <si>
    <t>Isi Stapler No. 10 (Kecil)</t>
  </si>
  <si>
    <t>Kertas HVS A4 70 Grm</t>
  </si>
  <si>
    <t>Kertas HVS A4 80 Grm</t>
  </si>
  <si>
    <t>Kertas HVS F4 70 Grm</t>
  </si>
  <si>
    <t>Kertas HVS F4 80 Grm</t>
  </si>
  <si>
    <t>Kertas sticker Ukuran A4</t>
  </si>
  <si>
    <t>Keyboard Komputer K120</t>
  </si>
  <si>
    <t>Lakban Bening 24 Milimeter</t>
  </si>
  <si>
    <t>Lakban Bening 48 Milimeter</t>
  </si>
  <si>
    <t>Lakban Hitam 24 Milimeter</t>
  </si>
  <si>
    <t>Lakban Hitam 48 Milimeter</t>
  </si>
  <si>
    <t>Lem Fox</t>
  </si>
  <si>
    <t>Lem Fox Stik PVAc Botol 60 gr</t>
  </si>
  <si>
    <t>Note Book (Agenda)</t>
  </si>
  <si>
    <t>Paper Clip Trigonal No.1</t>
  </si>
  <si>
    <t>Paper Clip Trigonal No.3</t>
  </si>
  <si>
    <t>Paper Clip Trigonal No.5</t>
  </si>
  <si>
    <t>Penghapus Whiteboard</t>
  </si>
  <si>
    <t>Pos It Sign Here 3M</t>
  </si>
  <si>
    <t>Post It Flags</t>
  </si>
  <si>
    <t>Post It Warna Warni Ukuran Sedang</t>
  </si>
  <si>
    <t>Spidol Permanent</t>
  </si>
  <si>
    <t>Spidol Whiteboard Biru</t>
  </si>
  <si>
    <t>Spidol Whiteboard Hitam</t>
  </si>
  <si>
    <t>Stapler No. 10 (Kecil)</t>
  </si>
  <si>
    <t>Stapler No. 3 (Sedang)</t>
  </si>
  <si>
    <t>Tip-Ex</t>
  </si>
  <si>
    <t>Tip-Ex Kertas (Correction Tape)</t>
  </si>
  <si>
    <t>Tom &amp; Jerry Label Stiker No.100</t>
  </si>
  <si>
    <t>Tom &amp; Jerry Label Stiker No.101</t>
  </si>
  <si>
    <t>Isi Stapler No. 3 (Sedang)</t>
  </si>
  <si>
    <t>Kertas Foto Inkjet Paper</t>
  </si>
  <si>
    <t>Kertas (kertas concorde) Kuning</t>
  </si>
  <si>
    <t>Tinta Stempel Automatic Warna Biru</t>
  </si>
  <si>
    <t>Tinta Stempel Automatic Warna Ungu</t>
  </si>
  <si>
    <t>EPSON 003 Black</t>
  </si>
  <si>
    <t>EPSON 003 magenta</t>
  </si>
  <si>
    <t>EPSON 003 yellow</t>
  </si>
  <si>
    <t>EPSON 003 blue</t>
  </si>
  <si>
    <t>EPSON 001 Black</t>
  </si>
  <si>
    <t>EPSON 001 magenta</t>
  </si>
  <si>
    <t>EPSON 001 Cyan</t>
  </si>
  <si>
    <t>EPSON 001 Yellow</t>
  </si>
  <si>
    <t xml:space="preserve"> </t>
  </si>
  <si>
    <t>Mengetahui,</t>
  </si>
  <si>
    <t>A.n Dekan</t>
  </si>
  <si>
    <t>Operator Persediaan</t>
  </si>
  <si>
    <t>Wakil Dekan Bidang Umum dan Keuangan</t>
  </si>
  <si>
    <t>Betha Nurina Sari, M.Kom.</t>
  </si>
  <si>
    <t>M Rizki Fauzi S, S.Pd.</t>
  </si>
  <si>
    <t>NIP. 198910232018032001</t>
  </si>
  <si>
    <t>NIP. 199111052021211001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</si>
</sst>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theme="1"/>
      <name val="Bookman Old Style"/>
    </font>
    <font>
      <sz val="11"/>
      <color theme="1"/>
      <name val="Bookman Old Style"/>
    </font>
    <font>
      <i/>
      <sz val="12"/>
      <color theme="1"/>
      <name val="Bookman Old Style"/>
    </font>
    <font>
      <sz val="11"/>
      <name val="Calibri"/>
    </font>
    <font>
      <i/>
      <sz val="11"/>
      <color theme="1"/>
      <name val="Bookman Old Style"/>
    </font>
    <font>
      <sz val="12"/>
      <color theme="1"/>
      <name val="Bookman Old Style"/>
    </font>
    <font>
      <b/>
      <sz val="12"/>
      <color theme="1"/>
      <name val="Bookman Old Style"/>
    </font>
    <font>
      <sz val="14"/>
      <color theme="1"/>
      <name val="Bookman Old Style"/>
    </font>
    <font>
      <b/>
      <sz val="12"/>
      <color rgb="FF000000"/>
      <name val="Bookman Old Style"/>
    </font>
    <font>
      <sz val="11"/>
      <color theme="1"/>
      <name val="Century Gothic"/>
    </font>
    <font>
      <sz val="12"/>
      <color theme="1"/>
      <name val="Century Gothic"/>
    </font>
    <font>
      <sz val="11"/>
      <color theme="1"/>
      <name val="Calibri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/>
    </xf>
    <xf numFmtId="0" fontId="0" fillId="0" borderId="0" xfId="0"/>
    <xf numFmtId="0" fontId="8" fillId="0" borderId="0" xfId="0" applyFont="1"/>
    <xf numFmtId="0" fontId="8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7" fillId="2" borderId="6" xfId="0" applyFont="1" applyFill="1" applyBorder="1" applyAlignment="1">
      <alignment horizontal="center" vertical="center" wrapText="1"/>
    </xf>
    <xf numFmtId="1" fontId="7" fillId="2" borderId="6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/>
    </xf>
    <xf numFmtId="0" fontId="11" fillId="3" borderId="4" xfId="0" applyFont="1" applyFill="1" applyBorder="1"/>
    <xf numFmtId="0" fontId="11" fillId="3" borderId="4" xfId="0" applyFont="1" applyFill="1" applyBorder="1" applyAlignment="1">
      <alignment horizontal="center"/>
    </xf>
    <xf numFmtId="3" fontId="11" fillId="3" borderId="4" xfId="0" applyNumberFormat="1" applyFont="1" applyFill="1" applyBorder="1" applyAlignment="1">
      <alignment horizontal="center"/>
    </xf>
    <xf numFmtId="3" fontId="10" fillId="3" borderId="4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2" fillId="0" borderId="4" xfId="0" applyFont="1" applyBorder="1"/>
    <xf numFmtId="0" fontId="11" fillId="3" borderId="7" xfId="0" applyFont="1" applyFill="1" applyBorder="1"/>
    <xf numFmtId="0" fontId="10" fillId="3" borderId="7" xfId="0" applyFont="1" applyFill="1" applyBorder="1" applyAlignment="1">
      <alignment horizontal="center"/>
    </xf>
    <xf numFmtId="3" fontId="11" fillId="3" borderId="7" xfId="0" applyNumberFormat="1" applyFont="1" applyFill="1" applyBorder="1" applyAlignment="1">
      <alignment horizontal="center"/>
    </xf>
    <xf numFmtId="0" fontId="12" fillId="0" borderId="7" xfId="0" applyFont="1" applyBorder="1"/>
    <xf numFmtId="0" fontId="11" fillId="3" borderId="7" xfId="0" applyFont="1" applyFill="1" applyBorder="1" applyAlignment="1">
      <alignment horizontal="center"/>
    </xf>
    <xf numFmtId="0" fontId="12" fillId="3" borderId="7" xfId="0" applyFont="1" applyFill="1" applyBorder="1"/>
    <xf numFmtId="0" fontId="10" fillId="3" borderId="7" xfId="0" applyFont="1" applyFill="1" applyBorder="1"/>
    <xf numFmtId="3" fontId="10" fillId="3" borderId="7" xfId="0" applyNumberFormat="1" applyFont="1" applyFill="1" applyBorder="1" applyAlignment="1">
      <alignment horizontal="center"/>
    </xf>
    <xf numFmtId="3" fontId="10" fillId="0" borderId="7" xfId="0" applyNumberFormat="1" applyFont="1" applyBorder="1" applyAlignment="1">
      <alignment horizontal="center"/>
    </xf>
    <xf numFmtId="0" fontId="12" fillId="0" borderId="0" xfId="0" applyFont="1"/>
    <xf numFmtId="0" fontId="2" fillId="3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B972-E123-4DF7-B7B7-A3433D89B6DE}">
  <dimension ref="A1:Z1000"/>
  <sheetViews>
    <sheetView tabSelected="1" workbookViewId="0">
      <selection sqref="A1:XFD1048576"/>
    </sheetView>
  </sheetViews>
  <sheetFormatPr defaultColWidth="14.44140625" defaultRowHeight="14.4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5" t="s">
        <v>0</v>
      </c>
      <c r="B2" s="6"/>
      <c r="C2" s="6"/>
      <c r="D2" s="6"/>
      <c r="E2" s="6"/>
      <c r="F2" s="4"/>
      <c r="G2" s="7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8" t="s">
        <v>2</v>
      </c>
      <c r="B3" s="8" t="s">
        <v>3</v>
      </c>
      <c r="C3" s="9"/>
      <c r="D3" s="9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8" t="s">
        <v>4</v>
      </c>
      <c r="B4" s="8" t="s">
        <v>5</v>
      </c>
      <c r="C4" s="8"/>
      <c r="D4" s="8"/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8" t="s">
        <v>6</v>
      </c>
      <c r="B5" s="10" t="s">
        <v>7</v>
      </c>
      <c r="C5" s="10"/>
      <c r="D5" s="10"/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" t="s">
        <v>8</v>
      </c>
      <c r="B6" s="12"/>
      <c r="C6" s="12"/>
      <c r="D6" s="12"/>
      <c r="E6" s="1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" t="s">
        <v>9</v>
      </c>
      <c r="B7" s="12"/>
      <c r="C7" s="12"/>
      <c r="D7" s="12"/>
      <c r="E7" s="1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" t="s">
        <v>10</v>
      </c>
      <c r="B8" s="12"/>
      <c r="C8" s="12"/>
      <c r="D8" s="12"/>
      <c r="E8" s="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3"/>
      <c r="B9" s="14"/>
      <c r="C9" s="13"/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5" t="s">
        <v>11</v>
      </c>
      <c r="B10" s="16" t="s">
        <v>12</v>
      </c>
      <c r="C10" s="17" t="s">
        <v>13</v>
      </c>
      <c r="D10" s="18"/>
      <c r="E10" s="19"/>
      <c r="F10" s="20" t="s">
        <v>14</v>
      </c>
      <c r="G10" s="1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21"/>
      <c r="B11" s="21"/>
      <c r="C11" s="22" t="s">
        <v>15</v>
      </c>
      <c r="D11" s="23" t="s">
        <v>16</v>
      </c>
      <c r="E11" s="24" t="s">
        <v>17</v>
      </c>
      <c r="F11" s="22" t="s">
        <v>18</v>
      </c>
      <c r="G11" s="22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>
      <c r="A12" s="25">
        <v>1</v>
      </c>
      <c r="B12" s="26" t="s">
        <v>20</v>
      </c>
      <c r="C12" s="27">
        <v>2</v>
      </c>
      <c r="D12" s="28">
        <v>46454</v>
      </c>
      <c r="E12" s="29">
        <f t="shared" ref="E12:E82" si="0">D12*C12</f>
        <v>92908</v>
      </c>
      <c r="F12" s="30" t="s">
        <v>21</v>
      </c>
      <c r="G12" s="3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>
      <c r="A13" s="25">
        <f t="shared" ref="A13:A76" si="1">A12+1</f>
        <v>2</v>
      </c>
      <c r="B13" s="32" t="s">
        <v>22</v>
      </c>
      <c r="C13" s="33">
        <v>1</v>
      </c>
      <c r="D13" s="34">
        <v>19592</v>
      </c>
      <c r="E13" s="29">
        <f t="shared" si="0"/>
        <v>19592</v>
      </c>
      <c r="F13" s="30" t="s">
        <v>21</v>
      </c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>
      <c r="A14" s="25">
        <f t="shared" si="1"/>
        <v>3</v>
      </c>
      <c r="B14" s="32" t="s">
        <v>23</v>
      </c>
      <c r="C14" s="33">
        <v>1</v>
      </c>
      <c r="D14" s="34">
        <v>22089</v>
      </c>
      <c r="E14" s="29">
        <f t="shared" si="0"/>
        <v>22089</v>
      </c>
      <c r="F14" s="30" t="s">
        <v>21</v>
      </c>
      <c r="G14" s="3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>
      <c r="A15" s="25">
        <f t="shared" si="1"/>
        <v>4</v>
      </c>
      <c r="B15" s="32" t="s">
        <v>24</v>
      </c>
      <c r="C15" s="33">
        <v>1</v>
      </c>
      <c r="D15" s="34">
        <v>26307</v>
      </c>
      <c r="E15" s="29">
        <f t="shared" si="0"/>
        <v>26307</v>
      </c>
      <c r="F15" s="30" t="s">
        <v>21</v>
      </c>
      <c r="G15" s="3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>
      <c r="A16" s="25">
        <f t="shared" si="1"/>
        <v>5</v>
      </c>
      <c r="B16" s="32" t="s">
        <v>25</v>
      </c>
      <c r="C16" s="36">
        <v>12</v>
      </c>
      <c r="D16" s="34">
        <v>19601</v>
      </c>
      <c r="E16" s="29">
        <f t="shared" si="0"/>
        <v>235212</v>
      </c>
      <c r="F16" s="30" t="s">
        <v>21</v>
      </c>
      <c r="G16" s="3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>
      <c r="A17" s="25">
        <f t="shared" si="1"/>
        <v>6</v>
      </c>
      <c r="B17" s="32" t="s">
        <v>26</v>
      </c>
      <c r="C17" s="36">
        <v>23</v>
      </c>
      <c r="D17" s="34">
        <v>19601</v>
      </c>
      <c r="E17" s="29">
        <f t="shared" si="0"/>
        <v>450823</v>
      </c>
      <c r="F17" s="30" t="s">
        <v>21</v>
      </c>
      <c r="G17" s="3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>
      <c r="A18" s="25">
        <f t="shared" si="1"/>
        <v>7</v>
      </c>
      <c r="B18" s="32" t="s">
        <v>27</v>
      </c>
      <c r="C18" s="36">
        <v>27</v>
      </c>
      <c r="D18" s="34">
        <v>4440</v>
      </c>
      <c r="E18" s="29">
        <f t="shared" si="0"/>
        <v>119880</v>
      </c>
      <c r="F18" s="30" t="s">
        <v>21</v>
      </c>
      <c r="G18" s="3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>
      <c r="A19" s="25">
        <f t="shared" si="1"/>
        <v>8</v>
      </c>
      <c r="B19" s="32" t="s">
        <v>28</v>
      </c>
      <c r="C19" s="36">
        <v>46</v>
      </c>
      <c r="D19" s="34">
        <v>4440</v>
      </c>
      <c r="E19" s="29">
        <f t="shared" si="0"/>
        <v>204240</v>
      </c>
      <c r="F19" s="30" t="s">
        <v>21</v>
      </c>
      <c r="G19" s="3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>
      <c r="A20" s="25">
        <f t="shared" si="1"/>
        <v>9</v>
      </c>
      <c r="B20" s="32" t="s">
        <v>29</v>
      </c>
      <c r="C20" s="36">
        <v>3</v>
      </c>
      <c r="D20" s="34">
        <v>55691</v>
      </c>
      <c r="E20" s="29">
        <f t="shared" si="0"/>
        <v>167073</v>
      </c>
      <c r="F20" s="30" t="s">
        <v>21</v>
      </c>
      <c r="G20" s="3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5">
        <f t="shared" si="1"/>
        <v>10</v>
      </c>
      <c r="B21" s="32" t="s">
        <v>30</v>
      </c>
      <c r="C21" s="36">
        <v>4</v>
      </c>
      <c r="D21" s="34">
        <v>55691</v>
      </c>
      <c r="E21" s="29">
        <f t="shared" si="0"/>
        <v>222764</v>
      </c>
      <c r="F21" s="30" t="s">
        <v>21</v>
      </c>
      <c r="G21" s="3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25">
        <f t="shared" si="1"/>
        <v>11</v>
      </c>
      <c r="B22" s="32" t="s">
        <v>31</v>
      </c>
      <c r="C22" s="33">
        <v>2</v>
      </c>
      <c r="D22" s="34">
        <v>14985</v>
      </c>
      <c r="E22" s="29">
        <f t="shared" si="0"/>
        <v>29970</v>
      </c>
      <c r="F22" s="30" t="s">
        <v>21</v>
      </c>
      <c r="G22" s="3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25">
        <f t="shared" si="1"/>
        <v>12</v>
      </c>
      <c r="B23" s="32" t="s">
        <v>32</v>
      </c>
      <c r="C23" s="33">
        <v>1</v>
      </c>
      <c r="D23" s="34">
        <v>27956</v>
      </c>
      <c r="E23" s="29">
        <f t="shared" si="0"/>
        <v>27956</v>
      </c>
      <c r="F23" s="30" t="s">
        <v>21</v>
      </c>
      <c r="G23" s="3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5">
        <f t="shared" si="1"/>
        <v>13</v>
      </c>
      <c r="B24" s="32" t="s">
        <v>33</v>
      </c>
      <c r="C24" s="33">
        <v>9</v>
      </c>
      <c r="D24" s="34">
        <v>4079</v>
      </c>
      <c r="E24" s="29">
        <f t="shared" si="0"/>
        <v>36711</v>
      </c>
      <c r="F24" s="30" t="s">
        <v>21</v>
      </c>
      <c r="G24" s="3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5">
        <f t="shared" si="1"/>
        <v>14</v>
      </c>
      <c r="B25" s="32" t="s">
        <v>34</v>
      </c>
      <c r="C25" s="33">
        <v>13</v>
      </c>
      <c r="D25" s="34">
        <v>3441</v>
      </c>
      <c r="E25" s="29">
        <f t="shared" si="0"/>
        <v>44733</v>
      </c>
      <c r="F25" s="30" t="s">
        <v>21</v>
      </c>
      <c r="G25" s="3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25">
        <f t="shared" si="1"/>
        <v>15</v>
      </c>
      <c r="B26" s="32" t="s">
        <v>35</v>
      </c>
      <c r="C26" s="33">
        <v>10</v>
      </c>
      <c r="D26" s="34">
        <v>6660</v>
      </c>
      <c r="E26" s="29">
        <f t="shared" si="0"/>
        <v>66600</v>
      </c>
      <c r="F26" s="30" t="s">
        <v>21</v>
      </c>
      <c r="G26" s="3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25">
        <f t="shared" si="1"/>
        <v>16</v>
      </c>
      <c r="B27" s="32" t="s">
        <v>36</v>
      </c>
      <c r="C27" s="33">
        <v>11</v>
      </c>
      <c r="D27" s="34">
        <v>8270</v>
      </c>
      <c r="E27" s="29">
        <f t="shared" si="0"/>
        <v>90970</v>
      </c>
      <c r="F27" s="30" t="s">
        <v>21</v>
      </c>
      <c r="G27" s="3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25">
        <f t="shared" si="1"/>
        <v>17</v>
      </c>
      <c r="B28" s="32" t="s">
        <v>37</v>
      </c>
      <c r="C28" s="33">
        <v>3</v>
      </c>
      <c r="D28" s="34">
        <v>14874</v>
      </c>
      <c r="E28" s="29">
        <f t="shared" si="0"/>
        <v>44622</v>
      </c>
      <c r="F28" s="30" t="s">
        <v>21</v>
      </c>
      <c r="G28" s="3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5">
        <f t="shared" si="1"/>
        <v>18</v>
      </c>
      <c r="B29" s="32" t="s">
        <v>38</v>
      </c>
      <c r="C29" s="33">
        <v>10</v>
      </c>
      <c r="D29" s="34">
        <v>19425</v>
      </c>
      <c r="E29" s="29">
        <f t="shared" si="0"/>
        <v>194250</v>
      </c>
      <c r="F29" s="30" t="s">
        <v>21</v>
      </c>
      <c r="G29" s="3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5">
        <f t="shared" si="1"/>
        <v>19</v>
      </c>
      <c r="B30" s="32" t="s">
        <v>39</v>
      </c>
      <c r="C30" s="36">
        <v>2</v>
      </c>
      <c r="D30" s="34">
        <v>17205</v>
      </c>
      <c r="E30" s="29">
        <f t="shared" si="0"/>
        <v>34410</v>
      </c>
      <c r="F30" s="30" t="s">
        <v>21</v>
      </c>
      <c r="G30" s="3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25">
        <f t="shared" si="1"/>
        <v>20</v>
      </c>
      <c r="B31" s="32" t="s">
        <v>40</v>
      </c>
      <c r="C31" s="36">
        <v>1</v>
      </c>
      <c r="D31" s="34">
        <v>6549</v>
      </c>
      <c r="E31" s="29">
        <f t="shared" si="0"/>
        <v>6549</v>
      </c>
      <c r="F31" s="30" t="s">
        <v>21</v>
      </c>
      <c r="G31" s="3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5">
        <f t="shared" si="1"/>
        <v>21</v>
      </c>
      <c r="B32" s="32" t="s">
        <v>41</v>
      </c>
      <c r="C32" s="33">
        <v>1</v>
      </c>
      <c r="D32" s="34">
        <v>31635</v>
      </c>
      <c r="E32" s="29">
        <f t="shared" si="0"/>
        <v>31635</v>
      </c>
      <c r="F32" s="30" t="s">
        <v>21</v>
      </c>
      <c r="G32" s="3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25">
        <f t="shared" si="1"/>
        <v>22</v>
      </c>
      <c r="B33" s="32" t="s">
        <v>42</v>
      </c>
      <c r="C33" s="36">
        <v>4</v>
      </c>
      <c r="D33" s="34">
        <v>6105</v>
      </c>
      <c r="E33" s="29">
        <f t="shared" si="0"/>
        <v>24420</v>
      </c>
      <c r="F33" s="30" t="s">
        <v>21</v>
      </c>
      <c r="G33" s="3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25">
        <f t="shared" si="1"/>
        <v>23</v>
      </c>
      <c r="B34" s="32" t="s">
        <v>43</v>
      </c>
      <c r="C34" s="33">
        <v>4</v>
      </c>
      <c r="D34" s="34">
        <v>12210</v>
      </c>
      <c r="E34" s="29">
        <f t="shared" si="0"/>
        <v>48840</v>
      </c>
      <c r="F34" s="30" t="s">
        <v>21</v>
      </c>
      <c r="G34" s="3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25">
        <f t="shared" si="1"/>
        <v>24</v>
      </c>
      <c r="B35" s="32" t="s">
        <v>44</v>
      </c>
      <c r="C35" s="36">
        <v>5</v>
      </c>
      <c r="D35" s="34">
        <v>29859</v>
      </c>
      <c r="E35" s="29">
        <f t="shared" si="0"/>
        <v>149295</v>
      </c>
      <c r="F35" s="30" t="s">
        <v>21</v>
      </c>
      <c r="G35" s="3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25">
        <f t="shared" si="1"/>
        <v>25</v>
      </c>
      <c r="B36" s="32" t="s">
        <v>45</v>
      </c>
      <c r="C36" s="36">
        <v>2</v>
      </c>
      <c r="D36" s="34">
        <v>14319</v>
      </c>
      <c r="E36" s="29">
        <f t="shared" si="0"/>
        <v>28638</v>
      </c>
      <c r="F36" s="30" t="s">
        <v>21</v>
      </c>
      <c r="G36" s="3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25">
        <f t="shared" si="1"/>
        <v>26</v>
      </c>
      <c r="B37" s="32" t="s">
        <v>46</v>
      </c>
      <c r="C37" s="36">
        <v>2</v>
      </c>
      <c r="D37" s="34">
        <v>11378</v>
      </c>
      <c r="E37" s="29">
        <f t="shared" si="0"/>
        <v>22756</v>
      </c>
      <c r="F37" s="30" t="s">
        <v>21</v>
      </c>
      <c r="G37" s="3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25">
        <f t="shared" si="1"/>
        <v>27</v>
      </c>
      <c r="B38" s="32" t="s">
        <v>47</v>
      </c>
      <c r="C38" s="36">
        <v>2</v>
      </c>
      <c r="D38" s="34">
        <v>5826</v>
      </c>
      <c r="E38" s="29">
        <f t="shared" si="0"/>
        <v>11652</v>
      </c>
      <c r="F38" s="30" t="s">
        <v>21</v>
      </c>
      <c r="G38" s="3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25">
        <f t="shared" si="1"/>
        <v>28</v>
      </c>
      <c r="B39" s="32" t="s">
        <v>48</v>
      </c>
      <c r="C39" s="36">
        <v>2</v>
      </c>
      <c r="D39" s="34">
        <v>4440</v>
      </c>
      <c r="E39" s="29">
        <f t="shared" si="0"/>
        <v>8880</v>
      </c>
      <c r="F39" s="30" t="s">
        <v>21</v>
      </c>
      <c r="G39" s="3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5">
        <f t="shared" si="1"/>
        <v>29</v>
      </c>
      <c r="B40" s="32" t="s">
        <v>49</v>
      </c>
      <c r="C40" s="33">
        <v>8</v>
      </c>
      <c r="D40" s="34">
        <v>62049</v>
      </c>
      <c r="E40" s="29">
        <f t="shared" si="0"/>
        <v>496392</v>
      </c>
      <c r="F40" s="30" t="s">
        <v>21</v>
      </c>
      <c r="G40" s="3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25">
        <f t="shared" si="1"/>
        <v>30</v>
      </c>
      <c r="B41" s="32" t="s">
        <v>50</v>
      </c>
      <c r="C41" s="36">
        <v>8</v>
      </c>
      <c r="D41" s="34">
        <v>73815</v>
      </c>
      <c r="E41" s="29">
        <f t="shared" si="0"/>
        <v>590520</v>
      </c>
      <c r="F41" s="30" t="s">
        <v>21</v>
      </c>
      <c r="G41" s="3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25">
        <f t="shared" si="1"/>
        <v>31</v>
      </c>
      <c r="B42" s="32" t="s">
        <v>51</v>
      </c>
      <c r="C42" s="33">
        <v>4</v>
      </c>
      <c r="D42" s="34">
        <v>72150</v>
      </c>
      <c r="E42" s="29">
        <f t="shared" si="0"/>
        <v>288600</v>
      </c>
      <c r="F42" s="30" t="s">
        <v>21</v>
      </c>
      <c r="G42" s="3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5">
        <f t="shared" si="1"/>
        <v>32</v>
      </c>
      <c r="B43" s="32" t="s">
        <v>52</v>
      </c>
      <c r="C43" s="36">
        <v>8</v>
      </c>
      <c r="D43" s="34">
        <v>72150</v>
      </c>
      <c r="E43" s="29">
        <f t="shared" si="0"/>
        <v>577200</v>
      </c>
      <c r="F43" s="30" t="s">
        <v>21</v>
      </c>
      <c r="G43" s="3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25">
        <f t="shared" si="1"/>
        <v>33</v>
      </c>
      <c r="B44" s="32" t="s">
        <v>53</v>
      </c>
      <c r="C44" s="33">
        <v>5</v>
      </c>
      <c r="D44" s="34">
        <v>88800</v>
      </c>
      <c r="E44" s="29">
        <f t="shared" si="0"/>
        <v>444000</v>
      </c>
      <c r="F44" s="30" t="s">
        <v>21</v>
      </c>
      <c r="G44" s="3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25">
        <f t="shared" si="1"/>
        <v>34</v>
      </c>
      <c r="B45" s="32" t="s">
        <v>54</v>
      </c>
      <c r="C45" s="33">
        <v>1</v>
      </c>
      <c r="D45" s="34">
        <v>32745</v>
      </c>
      <c r="E45" s="29">
        <f t="shared" si="0"/>
        <v>32745</v>
      </c>
      <c r="F45" s="30" t="s">
        <v>21</v>
      </c>
      <c r="G45" s="3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25">
        <f t="shared" si="1"/>
        <v>35</v>
      </c>
      <c r="B46" s="32" t="s">
        <v>55</v>
      </c>
      <c r="C46" s="33">
        <v>1</v>
      </c>
      <c r="D46" s="34">
        <v>200910</v>
      </c>
      <c r="E46" s="29">
        <f t="shared" si="0"/>
        <v>200910</v>
      </c>
      <c r="F46" s="30" t="s">
        <v>21</v>
      </c>
      <c r="G46" s="3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25">
        <f t="shared" si="1"/>
        <v>36</v>
      </c>
      <c r="B47" s="32" t="s">
        <v>56</v>
      </c>
      <c r="C47" s="36">
        <v>4</v>
      </c>
      <c r="D47" s="34">
        <v>11543</v>
      </c>
      <c r="E47" s="29">
        <f t="shared" si="0"/>
        <v>46172</v>
      </c>
      <c r="F47" s="30" t="s">
        <v>21</v>
      </c>
      <c r="G47" s="3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5">
        <f t="shared" si="1"/>
        <v>37</v>
      </c>
      <c r="B48" s="32" t="s">
        <v>57</v>
      </c>
      <c r="C48" s="36">
        <v>5</v>
      </c>
      <c r="D48" s="34">
        <v>14430</v>
      </c>
      <c r="E48" s="29">
        <f t="shared" si="0"/>
        <v>72150</v>
      </c>
      <c r="F48" s="30" t="s">
        <v>21</v>
      </c>
      <c r="G48" s="3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25">
        <f t="shared" si="1"/>
        <v>38</v>
      </c>
      <c r="B49" s="32" t="s">
        <v>58</v>
      </c>
      <c r="C49" s="36">
        <v>4</v>
      </c>
      <c r="D49" s="34">
        <v>11655</v>
      </c>
      <c r="E49" s="29">
        <f t="shared" si="0"/>
        <v>46620</v>
      </c>
      <c r="F49" s="30" t="s">
        <v>21</v>
      </c>
      <c r="G49" s="3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5">
        <f t="shared" si="1"/>
        <v>39</v>
      </c>
      <c r="B50" s="32" t="s">
        <v>59</v>
      </c>
      <c r="C50" s="36">
        <v>2</v>
      </c>
      <c r="D50" s="34">
        <v>18315</v>
      </c>
      <c r="E50" s="29">
        <f t="shared" si="0"/>
        <v>36630</v>
      </c>
      <c r="F50" s="30" t="s">
        <v>21</v>
      </c>
      <c r="G50" s="3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25">
        <f t="shared" si="1"/>
        <v>40</v>
      </c>
      <c r="B51" s="32" t="s">
        <v>60</v>
      </c>
      <c r="C51" s="36">
        <v>2</v>
      </c>
      <c r="D51" s="34">
        <v>18815</v>
      </c>
      <c r="E51" s="29">
        <f t="shared" si="0"/>
        <v>37630</v>
      </c>
      <c r="F51" s="30" t="s">
        <v>21</v>
      </c>
      <c r="G51" s="3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25">
        <f t="shared" si="1"/>
        <v>41</v>
      </c>
      <c r="B52" s="32" t="s">
        <v>61</v>
      </c>
      <c r="C52" s="36">
        <v>2</v>
      </c>
      <c r="D52" s="34">
        <v>15540</v>
      </c>
      <c r="E52" s="29">
        <f t="shared" si="0"/>
        <v>31080</v>
      </c>
      <c r="F52" s="30" t="s">
        <v>21</v>
      </c>
      <c r="G52" s="3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25">
        <f t="shared" si="1"/>
        <v>42</v>
      </c>
      <c r="B53" s="32" t="s">
        <v>62</v>
      </c>
      <c r="C53" s="36">
        <v>1</v>
      </c>
      <c r="D53" s="34">
        <v>40848</v>
      </c>
      <c r="E53" s="29">
        <f t="shared" si="0"/>
        <v>40848</v>
      </c>
      <c r="F53" s="30" t="s">
        <v>21</v>
      </c>
      <c r="G53" s="3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25">
        <f t="shared" si="1"/>
        <v>43</v>
      </c>
      <c r="B54" s="32" t="s">
        <v>63</v>
      </c>
      <c r="C54" s="33">
        <v>8</v>
      </c>
      <c r="D54" s="34">
        <v>2775</v>
      </c>
      <c r="E54" s="29">
        <f t="shared" si="0"/>
        <v>22200</v>
      </c>
      <c r="F54" s="30" t="s">
        <v>21</v>
      </c>
      <c r="G54" s="3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25">
        <f t="shared" si="1"/>
        <v>44</v>
      </c>
      <c r="B55" s="32" t="s">
        <v>64</v>
      </c>
      <c r="C55" s="33">
        <v>7</v>
      </c>
      <c r="D55" s="34">
        <v>4995</v>
      </c>
      <c r="E55" s="29">
        <f t="shared" si="0"/>
        <v>34965</v>
      </c>
      <c r="F55" s="30" t="s">
        <v>21</v>
      </c>
      <c r="G55" s="3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25">
        <f t="shared" si="1"/>
        <v>45</v>
      </c>
      <c r="B56" s="32" t="s">
        <v>65</v>
      </c>
      <c r="C56" s="33">
        <v>9</v>
      </c>
      <c r="D56" s="34">
        <v>11100</v>
      </c>
      <c r="E56" s="29">
        <f t="shared" si="0"/>
        <v>99900</v>
      </c>
      <c r="F56" s="30" t="s">
        <v>21</v>
      </c>
      <c r="G56" s="3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25">
        <f t="shared" si="1"/>
        <v>46</v>
      </c>
      <c r="B57" s="32" t="s">
        <v>66</v>
      </c>
      <c r="C57" s="36">
        <v>2</v>
      </c>
      <c r="D57" s="34">
        <v>10545</v>
      </c>
      <c r="E57" s="29">
        <f t="shared" si="0"/>
        <v>21090</v>
      </c>
      <c r="F57" s="30" t="s">
        <v>21</v>
      </c>
      <c r="G57" s="3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25">
        <f t="shared" si="1"/>
        <v>47</v>
      </c>
      <c r="B58" s="32" t="s">
        <v>67</v>
      </c>
      <c r="C58" s="33">
        <v>2</v>
      </c>
      <c r="D58" s="34">
        <v>24975</v>
      </c>
      <c r="E58" s="29">
        <f t="shared" si="0"/>
        <v>49950</v>
      </c>
      <c r="F58" s="30" t="s">
        <v>21</v>
      </c>
      <c r="G58" s="3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25">
        <f t="shared" si="1"/>
        <v>48</v>
      </c>
      <c r="B59" s="32" t="s">
        <v>68</v>
      </c>
      <c r="C59" s="33">
        <v>3</v>
      </c>
      <c r="D59" s="34">
        <v>26196</v>
      </c>
      <c r="E59" s="29">
        <f t="shared" si="0"/>
        <v>78588</v>
      </c>
      <c r="F59" s="30" t="s">
        <v>21</v>
      </c>
      <c r="G59" s="3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25">
        <f t="shared" si="1"/>
        <v>49</v>
      </c>
      <c r="B60" s="32" t="s">
        <v>69</v>
      </c>
      <c r="C60" s="36">
        <v>3</v>
      </c>
      <c r="D60" s="34">
        <v>26196</v>
      </c>
      <c r="E60" s="29">
        <f t="shared" si="0"/>
        <v>78588</v>
      </c>
      <c r="F60" s="30" t="s">
        <v>21</v>
      </c>
      <c r="G60" s="3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25">
        <f t="shared" si="1"/>
        <v>50</v>
      </c>
      <c r="B61" s="32" t="s">
        <v>70</v>
      </c>
      <c r="C61" s="33">
        <v>3</v>
      </c>
      <c r="D61" s="34">
        <v>108780</v>
      </c>
      <c r="E61" s="29">
        <f t="shared" si="0"/>
        <v>326340</v>
      </c>
      <c r="F61" s="30" t="s">
        <v>21</v>
      </c>
      <c r="G61" s="3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25">
        <f t="shared" si="1"/>
        <v>51</v>
      </c>
      <c r="B62" s="32" t="s">
        <v>71</v>
      </c>
      <c r="C62" s="33">
        <v>4</v>
      </c>
      <c r="D62" s="34">
        <v>194250</v>
      </c>
      <c r="E62" s="29">
        <f t="shared" si="0"/>
        <v>777000</v>
      </c>
      <c r="F62" s="30" t="s">
        <v>21</v>
      </c>
      <c r="G62" s="3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25">
        <f t="shared" si="1"/>
        <v>52</v>
      </c>
      <c r="B63" s="32" t="s">
        <v>72</v>
      </c>
      <c r="C63" s="36">
        <v>7</v>
      </c>
      <c r="D63" s="34">
        <v>194250</v>
      </c>
      <c r="E63" s="29">
        <f t="shared" si="0"/>
        <v>1359750</v>
      </c>
      <c r="F63" s="30" t="s">
        <v>21</v>
      </c>
      <c r="G63" s="3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25">
        <f t="shared" si="1"/>
        <v>53</v>
      </c>
      <c r="B64" s="32" t="s">
        <v>73</v>
      </c>
      <c r="C64" s="33">
        <v>1</v>
      </c>
      <c r="D64" s="34">
        <v>29859</v>
      </c>
      <c r="E64" s="29">
        <f t="shared" si="0"/>
        <v>29859</v>
      </c>
      <c r="F64" s="30" t="s">
        <v>21</v>
      </c>
      <c r="G64" s="3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25">
        <f t="shared" si="1"/>
        <v>54</v>
      </c>
      <c r="B65" s="32" t="s">
        <v>74</v>
      </c>
      <c r="C65" s="33">
        <v>2</v>
      </c>
      <c r="D65" s="34">
        <v>29415</v>
      </c>
      <c r="E65" s="29">
        <f t="shared" si="0"/>
        <v>58830</v>
      </c>
      <c r="F65" s="30" t="s">
        <v>21</v>
      </c>
      <c r="G65" s="3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25">
        <f t="shared" si="1"/>
        <v>55</v>
      </c>
      <c r="B66" s="32" t="s">
        <v>75</v>
      </c>
      <c r="C66" s="36">
        <v>2</v>
      </c>
      <c r="D66" s="34">
        <v>7770</v>
      </c>
      <c r="E66" s="29">
        <f t="shared" si="0"/>
        <v>15540</v>
      </c>
      <c r="F66" s="30" t="s">
        <v>21</v>
      </c>
      <c r="G66" s="3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25">
        <f t="shared" si="1"/>
        <v>56</v>
      </c>
      <c r="B67" s="32" t="s">
        <v>76</v>
      </c>
      <c r="C67" s="36">
        <v>2</v>
      </c>
      <c r="D67" s="34">
        <v>13208</v>
      </c>
      <c r="E67" s="29">
        <f t="shared" si="0"/>
        <v>26416</v>
      </c>
      <c r="F67" s="30" t="s">
        <v>21</v>
      </c>
      <c r="G67" s="3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5">
        <f t="shared" si="1"/>
        <v>57</v>
      </c>
      <c r="B68" s="32" t="s">
        <v>77</v>
      </c>
      <c r="C68" s="33">
        <v>1</v>
      </c>
      <c r="D68" s="34">
        <v>8880</v>
      </c>
      <c r="E68" s="29">
        <f t="shared" si="0"/>
        <v>8880</v>
      </c>
      <c r="F68" s="30" t="s">
        <v>21</v>
      </c>
      <c r="G68" s="3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25">
        <f t="shared" si="1"/>
        <v>58</v>
      </c>
      <c r="B69" s="32" t="s">
        <v>78</v>
      </c>
      <c r="C69" s="33">
        <v>1</v>
      </c>
      <c r="D69" s="34">
        <v>11100</v>
      </c>
      <c r="E69" s="29">
        <f t="shared" si="0"/>
        <v>11100</v>
      </c>
      <c r="F69" s="30" t="s">
        <v>21</v>
      </c>
      <c r="G69" s="3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25">
        <f t="shared" si="1"/>
        <v>59</v>
      </c>
      <c r="B70" s="38" t="s">
        <v>79</v>
      </c>
      <c r="C70" s="33">
        <v>3</v>
      </c>
      <c r="D70" s="39">
        <v>188370</v>
      </c>
      <c r="E70" s="29">
        <f t="shared" si="0"/>
        <v>565110</v>
      </c>
      <c r="F70" s="30" t="s">
        <v>21</v>
      </c>
      <c r="G70" s="3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25">
        <f t="shared" si="1"/>
        <v>60</v>
      </c>
      <c r="B71" s="38" t="s">
        <v>80</v>
      </c>
      <c r="C71" s="33">
        <v>1</v>
      </c>
      <c r="D71" s="39">
        <v>42753</v>
      </c>
      <c r="E71" s="29">
        <f t="shared" si="0"/>
        <v>42753</v>
      </c>
      <c r="F71" s="30" t="s">
        <v>21</v>
      </c>
      <c r="G71" s="3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25">
        <f t="shared" si="1"/>
        <v>61</v>
      </c>
      <c r="B72" s="38" t="s">
        <v>81</v>
      </c>
      <c r="C72" s="33">
        <v>2</v>
      </c>
      <c r="D72" s="39">
        <v>125000</v>
      </c>
      <c r="E72" s="29">
        <f t="shared" si="0"/>
        <v>250000</v>
      </c>
      <c r="F72" s="30" t="s">
        <v>21</v>
      </c>
      <c r="G72" s="3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25">
        <f t="shared" si="1"/>
        <v>62</v>
      </c>
      <c r="B73" s="38" t="s">
        <v>82</v>
      </c>
      <c r="C73" s="33">
        <v>3</v>
      </c>
      <c r="D73" s="40">
        <v>10118</v>
      </c>
      <c r="E73" s="29">
        <f t="shared" si="0"/>
        <v>30354</v>
      </c>
      <c r="F73" s="30" t="s">
        <v>21</v>
      </c>
      <c r="G73" s="3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25">
        <f t="shared" si="1"/>
        <v>63</v>
      </c>
      <c r="B74" s="38" t="s">
        <v>83</v>
      </c>
      <c r="C74" s="33">
        <v>3</v>
      </c>
      <c r="D74" s="40">
        <v>10118</v>
      </c>
      <c r="E74" s="29">
        <f t="shared" si="0"/>
        <v>30354</v>
      </c>
      <c r="F74" s="30" t="s">
        <v>21</v>
      </c>
      <c r="G74" s="3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25">
        <f t="shared" si="1"/>
        <v>64</v>
      </c>
      <c r="B75" s="32" t="s">
        <v>84</v>
      </c>
      <c r="C75" s="33">
        <v>5</v>
      </c>
      <c r="D75" s="34">
        <v>88800</v>
      </c>
      <c r="E75" s="29">
        <f t="shared" si="0"/>
        <v>444000</v>
      </c>
      <c r="F75" s="30" t="s">
        <v>21</v>
      </c>
      <c r="G75" s="3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25">
        <f t="shared" si="1"/>
        <v>65</v>
      </c>
      <c r="B76" s="32" t="s">
        <v>85</v>
      </c>
      <c r="C76" s="33">
        <v>5</v>
      </c>
      <c r="D76" s="34">
        <v>88800</v>
      </c>
      <c r="E76" s="29">
        <f t="shared" si="0"/>
        <v>444000</v>
      </c>
      <c r="F76" s="30" t="s">
        <v>21</v>
      </c>
      <c r="G76" s="3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25">
        <f t="shared" ref="A77:A82" si="2">A76+1</f>
        <v>66</v>
      </c>
      <c r="B77" s="32" t="s">
        <v>86</v>
      </c>
      <c r="C77" s="33">
        <v>5</v>
      </c>
      <c r="D77" s="34">
        <v>88800</v>
      </c>
      <c r="E77" s="29">
        <f t="shared" si="0"/>
        <v>444000</v>
      </c>
      <c r="F77" s="30" t="s">
        <v>21</v>
      </c>
      <c r="G77" s="3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25">
        <f t="shared" si="2"/>
        <v>67</v>
      </c>
      <c r="B78" s="32" t="s">
        <v>87</v>
      </c>
      <c r="C78" s="33">
        <v>5</v>
      </c>
      <c r="D78" s="34">
        <v>88800</v>
      </c>
      <c r="E78" s="29">
        <f t="shared" si="0"/>
        <v>444000</v>
      </c>
      <c r="F78" s="30" t="s">
        <v>21</v>
      </c>
      <c r="G78" s="3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25">
        <f t="shared" si="2"/>
        <v>68</v>
      </c>
      <c r="B79" s="32" t="s">
        <v>88</v>
      </c>
      <c r="C79" s="33">
        <v>5</v>
      </c>
      <c r="D79" s="34">
        <v>95460</v>
      </c>
      <c r="E79" s="29">
        <f t="shared" si="0"/>
        <v>477300</v>
      </c>
      <c r="F79" s="30" t="s">
        <v>21</v>
      </c>
      <c r="G79" s="3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25">
        <f t="shared" si="2"/>
        <v>69</v>
      </c>
      <c r="B80" s="32" t="s">
        <v>89</v>
      </c>
      <c r="C80" s="33">
        <v>5</v>
      </c>
      <c r="D80" s="34">
        <v>96570</v>
      </c>
      <c r="E80" s="29">
        <f t="shared" si="0"/>
        <v>482850</v>
      </c>
      <c r="F80" s="30" t="s">
        <v>21</v>
      </c>
      <c r="G80" s="3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25">
        <f t="shared" si="2"/>
        <v>70</v>
      </c>
      <c r="B81" s="32" t="s">
        <v>90</v>
      </c>
      <c r="C81" s="33">
        <v>5</v>
      </c>
      <c r="D81" s="34">
        <v>96570</v>
      </c>
      <c r="E81" s="29">
        <f t="shared" si="0"/>
        <v>482850</v>
      </c>
      <c r="F81" s="30" t="s">
        <v>21</v>
      </c>
      <c r="G81" s="3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25">
        <f t="shared" si="2"/>
        <v>71</v>
      </c>
      <c r="B82" s="32" t="s">
        <v>91</v>
      </c>
      <c r="C82" s="33">
        <v>5</v>
      </c>
      <c r="D82" s="34">
        <v>96570</v>
      </c>
      <c r="E82" s="29">
        <f t="shared" si="0"/>
        <v>482850</v>
      </c>
      <c r="F82" s="30" t="s">
        <v>21</v>
      </c>
      <c r="G82" s="3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1"/>
      <c r="B83" s="41"/>
      <c r="C83" s="42"/>
      <c r="D83" s="43">
        <f t="shared" ref="D83:E83" si="3">SUM(D12:D82)</f>
        <v>3067910</v>
      </c>
      <c r="E83" s="43">
        <f t="shared" si="3"/>
        <v>13024689</v>
      </c>
      <c r="F83" s="44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5"/>
      <c r="C84" s="46" t="s">
        <v>92</v>
      </c>
      <c r="D84" s="46"/>
      <c r="E84" s="46"/>
      <c r="F84" s="4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7" t="s">
        <v>93</v>
      </c>
      <c r="C85" s="41"/>
      <c r="D85" s="41"/>
      <c r="E85" s="41"/>
      <c r="F85" s="4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7" t="s">
        <v>94</v>
      </c>
      <c r="C86" s="41"/>
      <c r="D86" s="41"/>
      <c r="E86" s="47" t="s">
        <v>95</v>
      </c>
      <c r="F86" s="4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7" t="s">
        <v>96</v>
      </c>
      <c r="C87" s="41"/>
      <c r="D87" s="41"/>
      <c r="E87" s="41"/>
      <c r="F87" s="4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1"/>
      <c r="C88" s="41"/>
      <c r="D88" s="41"/>
      <c r="E88" s="41"/>
      <c r="F88" s="4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1"/>
      <c r="C89" s="41"/>
      <c r="D89" s="41"/>
      <c r="E89" s="41"/>
      <c r="F89" s="4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1"/>
      <c r="C90" s="41"/>
      <c r="D90" s="41"/>
      <c r="E90" s="41"/>
      <c r="F90" s="4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8" t="s">
        <v>97</v>
      </c>
      <c r="C91" s="41"/>
      <c r="D91" s="41"/>
      <c r="E91" s="47" t="s">
        <v>98</v>
      </c>
      <c r="F91" s="4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7" t="s">
        <v>99</v>
      </c>
      <c r="C92" s="41"/>
      <c r="D92" s="41"/>
      <c r="E92" s="47" t="s">
        <v>100</v>
      </c>
      <c r="F92" s="4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/>
    <row r="294" spans="1:26" ht="15.75" customHeight="1"/>
    <row r="295" spans="1:26" ht="15.75" customHeight="1"/>
    <row r="296" spans="1:26" ht="15.75" customHeight="1"/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silmi yushini</dc:creator>
  <cp:lastModifiedBy>silmi yushini</cp:lastModifiedBy>
  <dcterms:created xsi:type="dcterms:W3CDTF">2026-03-28T15:16:23Z</dcterms:created>
  <dcterms:modified xsi:type="dcterms:W3CDTF">2026-03-28T15:16:37Z</dcterms:modified>
</cp:coreProperties>
</file>