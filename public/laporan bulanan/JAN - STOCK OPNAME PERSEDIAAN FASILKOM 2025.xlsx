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D75ED8DD05811C/Dokumen/"/>
    </mc:Choice>
  </mc:AlternateContent>
  <xr:revisionPtr revIDLastSave="4" documentId="8_{6E20315B-B858-4159-9316-45866B5A86A8}" xr6:coauthVersionLast="47" xr6:coauthVersionMax="47" xr10:uidLastSave="{CB5E2A30-064F-4E91-BB58-C81A4713090C}"/>
  <bookViews>
    <workbookView xWindow="-96" yWindow="0" windowWidth="11712" windowHeight="12336" xr2:uid="{82686BE8-B0DD-4BAB-913F-AE16A6754FEC}"/>
  </bookViews>
  <sheets>
    <sheet name="janua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45" i="1" s="1"/>
</calcChain>
</file>

<file path=xl/sharedStrings.xml><?xml version="1.0" encoding="utf-8"?>
<sst xmlns="http://schemas.openxmlformats.org/spreadsheetml/2006/main" count="96" uniqueCount="63">
  <si>
    <t>No</t>
  </si>
  <si>
    <t>Jenis Barang</t>
  </si>
  <si>
    <t>Hasil Stock Opname</t>
  </si>
  <si>
    <t xml:space="preserve">Kondisi Barang </t>
  </si>
  <si>
    <t>Jumlah</t>
  </si>
  <si>
    <t xml:space="preserve"> Harga Satuan</t>
  </si>
  <si>
    <t>Total Harga</t>
  </si>
  <si>
    <t>Baik</t>
  </si>
  <si>
    <t>Rusak /Usang</t>
  </si>
  <si>
    <t>Ballpoin Warna Hitam</t>
  </si>
  <si>
    <t>V</t>
  </si>
  <si>
    <t>Binder Clip 105</t>
  </si>
  <si>
    <t>Binder Clip 107</t>
  </si>
  <si>
    <t>Binder Clip 111</t>
  </si>
  <si>
    <t>Binder Clip 155</t>
  </si>
  <si>
    <t>Binder Clip 260 (1 dus = 12 pcs)</t>
  </si>
  <si>
    <t>Double Tape Ukuran 1 Inchi</t>
  </si>
  <si>
    <t>Double Tape Ukuran 2 Inchi</t>
  </si>
  <si>
    <t>Glossy Photo Paper A4 isi 20</t>
  </si>
  <si>
    <t>Isi Stapler No. 10 (Kecil)</t>
  </si>
  <si>
    <t>Kertas HVS A4 80 Grm</t>
  </si>
  <si>
    <t>Kertas HVS F4 70 Grm</t>
  </si>
  <si>
    <t>Kertas HVS F4 80 Grm</t>
  </si>
  <si>
    <t>Lakban Bening 24 Milimeter</t>
  </si>
  <si>
    <t>Lakban Bening 48 Milimeter</t>
  </si>
  <si>
    <t>Lakban Hitam 24 Milimeter</t>
  </si>
  <si>
    <t>Paper Clip Trigonal No.1</t>
  </si>
  <si>
    <t>Paper Clip Trigonal No.3</t>
  </si>
  <si>
    <t>Paper Clip Trigonal No.5</t>
  </si>
  <si>
    <t>Post It Flags</t>
  </si>
  <si>
    <t>Post It Warna Warni Ukuran Sedang</t>
  </si>
  <si>
    <t>Spidol Whiteboard Biru</t>
  </si>
  <si>
    <t>Spidol Whiteboard Hitam</t>
  </si>
  <si>
    <t>Isi Stapler No. 3 (Sedang)</t>
  </si>
  <si>
    <t>Kertas Foto Inkjet Paper</t>
  </si>
  <si>
    <t>Kertas (kertas concorde) Kuning</t>
  </si>
  <si>
    <t>Tinta Stempel Automatic Warna Biru</t>
  </si>
  <si>
    <t>Tinta Stempel Automatic Warna Ungu</t>
  </si>
  <si>
    <t>EPSON 003 Black</t>
  </si>
  <si>
    <t>EPSON 003 magenta</t>
  </si>
  <si>
    <t>EPSON 003 yellow</t>
  </si>
  <si>
    <t>EPSON 003 blue</t>
  </si>
  <si>
    <t>EPSON 001 Black</t>
  </si>
  <si>
    <t xml:space="preserve"> </t>
  </si>
  <si>
    <t>Mengetahui,</t>
  </si>
  <si>
    <t>A.n Dekan</t>
  </si>
  <si>
    <t>Operator Persediaan</t>
  </si>
  <si>
    <t>Wakil Dekan Bidang Umum dan Keuangan</t>
  </si>
  <si>
    <t>LAMPIRAN BERITA ACARA STOK OPNAME FISIK PERSEDIAAN</t>
  </si>
  <si>
    <t>Lampiran 1</t>
  </si>
  <si>
    <t xml:space="preserve">Nomor </t>
  </si>
  <si>
    <t>: 390/UN64.7/LK/2025</t>
  </si>
  <si>
    <t xml:space="preserve">Tanggal </t>
  </si>
  <si>
    <t>: 28 Januari 2025</t>
  </si>
  <si>
    <t>Unit</t>
  </si>
  <si>
    <t>: Fakultas Ilmu Komputer</t>
  </si>
  <si>
    <t xml:space="preserve">LAPORAN STOCK OPNAME </t>
  </si>
  <si>
    <t>UNTUK PERIODE YANG BERAKHIR TANGGAL 28 JANUARI 2025</t>
  </si>
  <si>
    <t>TAHUN ANGGARAN</t>
  </si>
  <si>
    <t>Betha Nurina Sari, M.Kom.</t>
  </si>
  <si>
    <t>M Rizki Fauzi S, S.Pd.</t>
  </si>
  <si>
    <t>NIP. 198910232018032001</t>
  </si>
  <si>
    <t>NIP. 199111052021211001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</si>
</sst>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2"/>
      <color theme="1"/>
      <name val="Bookman Old Style"/>
    </font>
    <font>
      <b/>
      <sz val="12"/>
      <color rgb="FF000000"/>
      <name val="Bookman Old Style"/>
    </font>
    <font>
      <sz val="11"/>
      <name val="Calibri"/>
    </font>
    <font>
      <sz val="11"/>
      <color theme="1"/>
      <name val="Century Gothic"/>
    </font>
    <font>
      <sz val="12"/>
      <color theme="1"/>
      <name val="Century Gothic"/>
    </font>
    <font>
      <sz val="11"/>
      <color theme="1"/>
      <name val="Bookman Old Style"/>
    </font>
    <font>
      <sz val="11"/>
      <color theme="1"/>
      <name val="Calibri"/>
    </font>
    <font>
      <b/>
      <sz val="12"/>
      <color theme="1"/>
      <name val="Century Gothic"/>
    </font>
    <font>
      <sz val="12"/>
      <color theme="1"/>
      <name val="Bookman Old Style"/>
    </font>
    <font>
      <sz val="10"/>
      <color theme="1"/>
      <name val="Bookman Old Style"/>
    </font>
    <font>
      <i/>
      <sz val="12"/>
      <color theme="1"/>
      <name val="Bookman Old Style"/>
    </font>
    <font>
      <i/>
      <sz val="11"/>
      <color theme="1"/>
      <name val="Bookman Old Style"/>
    </font>
    <font>
      <sz val="14"/>
      <color theme="1"/>
      <name val="Bookman Old Style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" fillId="2" borderId="6" xfId="0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5" fillId="3" borderId="7" xfId="0" applyFont="1" applyFill="1" applyBorder="1"/>
    <xf numFmtId="0" fontId="5" fillId="3" borderId="7" xfId="0" applyFont="1" applyFill="1" applyBorder="1" applyAlignment="1">
      <alignment horizontal="center"/>
    </xf>
    <xf numFmtId="3" fontId="5" fillId="3" borderId="7" xfId="0" applyNumberFormat="1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7" xfId="0" applyFont="1" applyBorder="1"/>
    <xf numFmtId="0" fontId="4" fillId="3" borderId="7" xfId="0" applyFont="1" applyFill="1" applyBorder="1" applyAlignment="1">
      <alignment horizontal="center"/>
    </xf>
    <xf numFmtId="0" fontId="8" fillId="3" borderId="7" xfId="0" applyFont="1" applyFill="1" applyBorder="1"/>
    <xf numFmtId="0" fontId="7" fillId="3" borderId="7" xfId="0" applyFont="1" applyFill="1" applyBorder="1"/>
    <xf numFmtId="0" fontId="4" fillId="3" borderId="7" xfId="0" applyFont="1" applyFill="1" applyBorder="1"/>
    <xf numFmtId="3" fontId="4" fillId="3" borderId="7" xfId="0" applyNumberFormat="1" applyFont="1" applyFill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0" fontId="7" fillId="0" borderId="0" xfId="0" applyFont="1"/>
    <xf numFmtId="0" fontId="6" fillId="3" borderId="0" xfId="0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9" fillId="0" borderId="0" xfId="0" applyFont="1"/>
    <xf numFmtId="0" fontId="10" fillId="2" borderId="0" xfId="0" applyFont="1" applyFill="1" applyAlignment="1">
      <alignment horizontal="left" vertical="center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 wrapText="1"/>
    </xf>
    <xf numFmtId="0" fontId="3" fillId="0" borderId="0" xfId="0" applyFont="1"/>
    <xf numFmtId="0" fontId="12" fillId="0" borderId="0" xfId="0" applyFont="1"/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1301-830B-4AE2-B8C7-FC09F4C7A14A}">
  <dimension ref="A1:Z1000"/>
  <sheetViews>
    <sheetView tabSelected="1" workbookViewId="0">
      <selection activeCell="B9" sqref="B9"/>
    </sheetView>
  </sheetViews>
  <sheetFormatPr defaultColWidth="14.44140625" defaultRowHeight="14.4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32"/>
      <c r="B1" s="33"/>
      <c r="C1" s="34"/>
      <c r="D1" s="34"/>
      <c r="E1" s="34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6.5" customHeight="1">
      <c r="A2" s="35" t="s">
        <v>48</v>
      </c>
      <c r="B2" s="36"/>
      <c r="C2" s="36"/>
      <c r="D2" s="36"/>
      <c r="E2" s="36"/>
      <c r="F2" s="28"/>
      <c r="G2" s="37" t="s">
        <v>49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6">
      <c r="A3" s="38" t="s">
        <v>50</v>
      </c>
      <c r="B3" s="38" t="s">
        <v>51</v>
      </c>
      <c r="C3" s="39"/>
      <c r="D3" s="39"/>
      <c r="E3" s="39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6">
      <c r="A4" s="38" t="s">
        <v>52</v>
      </c>
      <c r="B4" s="38" t="s">
        <v>53</v>
      </c>
      <c r="C4" s="38"/>
      <c r="D4" s="38"/>
      <c r="E4" s="3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.6">
      <c r="A5" s="38" t="s">
        <v>54</v>
      </c>
      <c r="B5" s="40" t="s">
        <v>55</v>
      </c>
      <c r="C5" s="40"/>
      <c r="D5" s="40"/>
      <c r="E5" s="40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.6">
      <c r="A6" s="41" t="s">
        <v>56</v>
      </c>
      <c r="B6" s="42"/>
      <c r="C6" s="42"/>
      <c r="D6" s="42"/>
      <c r="E6" s="42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.6">
      <c r="A7" s="41" t="s">
        <v>57</v>
      </c>
      <c r="B7" s="42"/>
      <c r="C7" s="42"/>
      <c r="D7" s="42"/>
      <c r="E7" s="42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.6">
      <c r="A8" s="41" t="s">
        <v>58</v>
      </c>
      <c r="B8" s="42"/>
      <c r="C8" s="42"/>
      <c r="D8" s="42"/>
      <c r="E8" s="42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7.399999999999999">
      <c r="A9" s="43"/>
      <c r="B9" s="44"/>
      <c r="C9" s="43"/>
      <c r="D9" s="43"/>
      <c r="E9" s="43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7" customHeight="1">
      <c r="A10" s="1" t="s">
        <v>0</v>
      </c>
      <c r="B10" s="2" t="s">
        <v>1</v>
      </c>
      <c r="C10" s="3" t="s">
        <v>2</v>
      </c>
      <c r="D10" s="4"/>
      <c r="E10" s="5"/>
      <c r="F10" s="6" t="s">
        <v>3</v>
      </c>
      <c r="G10" s="5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43.5" customHeight="1">
      <c r="A11" s="7"/>
      <c r="B11" s="7"/>
      <c r="C11" s="8" t="s">
        <v>4</v>
      </c>
      <c r="D11" s="9" t="s">
        <v>5</v>
      </c>
      <c r="E11" s="10" t="s">
        <v>6</v>
      </c>
      <c r="F11" s="8" t="s">
        <v>7</v>
      </c>
      <c r="G11" s="8" t="s">
        <v>8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4.75" customHeight="1">
      <c r="A12" s="11">
        <v>1</v>
      </c>
      <c r="B12" s="12" t="s">
        <v>9</v>
      </c>
      <c r="C12" s="13">
        <v>6</v>
      </c>
      <c r="D12" s="14">
        <v>4440</v>
      </c>
      <c r="E12" s="15">
        <f t="shared" ref="E12:E44" si="0">D12*C12</f>
        <v>26640</v>
      </c>
      <c r="F12" s="16" t="s">
        <v>10</v>
      </c>
      <c r="G12" s="17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24.75" customHeight="1">
      <c r="A13" s="11">
        <v>2</v>
      </c>
      <c r="B13" s="12" t="s">
        <v>11</v>
      </c>
      <c r="C13" s="18">
        <v>1</v>
      </c>
      <c r="D13" s="14">
        <v>4079</v>
      </c>
      <c r="E13" s="15">
        <f t="shared" si="0"/>
        <v>4079</v>
      </c>
      <c r="F13" s="16" t="s">
        <v>10</v>
      </c>
      <c r="G13" s="17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4.75" customHeight="1">
      <c r="A14" s="11">
        <v>3</v>
      </c>
      <c r="B14" s="12" t="s">
        <v>12</v>
      </c>
      <c r="C14" s="18">
        <v>1</v>
      </c>
      <c r="D14" s="14">
        <v>3441</v>
      </c>
      <c r="E14" s="15">
        <f t="shared" si="0"/>
        <v>3441</v>
      </c>
      <c r="F14" s="16" t="s">
        <v>10</v>
      </c>
      <c r="G14" s="17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4.75" customHeight="1">
      <c r="A15" s="11">
        <v>4</v>
      </c>
      <c r="B15" s="12" t="s">
        <v>13</v>
      </c>
      <c r="C15" s="18">
        <v>2</v>
      </c>
      <c r="D15" s="14">
        <v>6660</v>
      </c>
      <c r="E15" s="15">
        <f t="shared" si="0"/>
        <v>13320</v>
      </c>
      <c r="F15" s="16" t="s">
        <v>10</v>
      </c>
      <c r="G15" s="17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4.75" customHeight="1">
      <c r="A16" s="11">
        <v>5</v>
      </c>
      <c r="B16" s="12" t="s">
        <v>14</v>
      </c>
      <c r="C16" s="18">
        <v>2</v>
      </c>
      <c r="D16" s="14">
        <v>8270</v>
      </c>
      <c r="E16" s="15">
        <f t="shared" si="0"/>
        <v>16540</v>
      </c>
      <c r="F16" s="16" t="s">
        <v>10</v>
      </c>
      <c r="G16" s="17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4.75" customHeight="1">
      <c r="A17" s="11">
        <v>6</v>
      </c>
      <c r="B17" s="12" t="s">
        <v>15</v>
      </c>
      <c r="C17" s="18">
        <v>2</v>
      </c>
      <c r="D17" s="14">
        <v>19425</v>
      </c>
      <c r="E17" s="15">
        <f t="shared" si="0"/>
        <v>38850</v>
      </c>
      <c r="F17" s="16" t="s">
        <v>10</v>
      </c>
      <c r="G17" s="17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4.75" customHeight="1">
      <c r="A18" s="11">
        <v>7</v>
      </c>
      <c r="B18" s="19" t="s">
        <v>16</v>
      </c>
      <c r="C18" s="13">
        <v>1</v>
      </c>
      <c r="D18" s="14">
        <v>6105</v>
      </c>
      <c r="E18" s="15">
        <f t="shared" si="0"/>
        <v>6105</v>
      </c>
      <c r="F18" s="16" t="s">
        <v>10</v>
      </c>
      <c r="G18" s="20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4.75" customHeight="1">
      <c r="A19" s="11">
        <v>8</v>
      </c>
      <c r="B19" s="19" t="s">
        <v>17</v>
      </c>
      <c r="C19" s="18">
        <v>1</v>
      </c>
      <c r="D19" s="14">
        <v>12210</v>
      </c>
      <c r="E19" s="15">
        <f t="shared" si="0"/>
        <v>12210</v>
      </c>
      <c r="F19" s="16" t="s">
        <v>10</v>
      </c>
      <c r="G19" s="17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4.75" customHeight="1">
      <c r="A20" s="11">
        <v>9</v>
      </c>
      <c r="B20" s="12" t="s">
        <v>18</v>
      </c>
      <c r="C20" s="13">
        <v>2</v>
      </c>
      <c r="D20" s="14">
        <v>29859</v>
      </c>
      <c r="E20" s="15">
        <f t="shared" si="0"/>
        <v>59718</v>
      </c>
      <c r="F20" s="16" t="s">
        <v>10</v>
      </c>
      <c r="G20" s="17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4.75" customHeight="1">
      <c r="A21" s="11">
        <v>10</v>
      </c>
      <c r="B21" s="12" t="s">
        <v>19</v>
      </c>
      <c r="C21" s="18">
        <v>1</v>
      </c>
      <c r="D21" s="14">
        <v>62049</v>
      </c>
      <c r="E21" s="15">
        <f t="shared" si="0"/>
        <v>62049</v>
      </c>
      <c r="F21" s="16" t="s">
        <v>10</v>
      </c>
      <c r="G21" s="17"/>
      <c r="H21" s="28"/>
      <c r="I21" s="28" t="s">
        <v>43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4.75" customHeight="1">
      <c r="A22" s="11">
        <v>11</v>
      </c>
      <c r="B22" s="12" t="s">
        <v>20</v>
      </c>
      <c r="C22" s="18">
        <v>4</v>
      </c>
      <c r="D22" s="14">
        <v>72150</v>
      </c>
      <c r="E22" s="15">
        <f t="shared" si="0"/>
        <v>288600</v>
      </c>
      <c r="F22" s="16" t="s">
        <v>10</v>
      </c>
      <c r="G22" s="17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4.75" customHeight="1">
      <c r="A23" s="11">
        <v>12</v>
      </c>
      <c r="B23" s="19" t="s">
        <v>21</v>
      </c>
      <c r="C23" s="13">
        <v>4</v>
      </c>
      <c r="D23" s="14">
        <v>72150</v>
      </c>
      <c r="E23" s="15">
        <f t="shared" si="0"/>
        <v>288600</v>
      </c>
      <c r="F23" s="16" t="s">
        <v>10</v>
      </c>
      <c r="G23" s="17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4.75" customHeight="1">
      <c r="A24" s="11">
        <v>13</v>
      </c>
      <c r="B24" s="12" t="s">
        <v>22</v>
      </c>
      <c r="C24" s="18">
        <v>3</v>
      </c>
      <c r="D24" s="14">
        <v>88800</v>
      </c>
      <c r="E24" s="15">
        <f t="shared" si="0"/>
        <v>266400</v>
      </c>
      <c r="F24" s="16" t="s">
        <v>10</v>
      </c>
      <c r="G24" s="17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4.75" customHeight="1">
      <c r="A25" s="11">
        <v>14</v>
      </c>
      <c r="B25" s="12" t="s">
        <v>23</v>
      </c>
      <c r="C25" s="13">
        <v>1</v>
      </c>
      <c r="D25" s="14">
        <v>11543</v>
      </c>
      <c r="E25" s="15">
        <f t="shared" si="0"/>
        <v>11543</v>
      </c>
      <c r="F25" s="16" t="s">
        <v>10</v>
      </c>
      <c r="G25" s="17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4.75" customHeight="1">
      <c r="A26" s="11">
        <v>15</v>
      </c>
      <c r="B26" s="12" t="s">
        <v>24</v>
      </c>
      <c r="C26" s="13">
        <v>2</v>
      </c>
      <c r="D26" s="14">
        <v>14430</v>
      </c>
      <c r="E26" s="15">
        <f t="shared" si="0"/>
        <v>28860</v>
      </c>
      <c r="F26" s="16" t="s">
        <v>10</v>
      </c>
      <c r="G26" s="17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4.75" customHeight="1">
      <c r="A27" s="11">
        <v>16</v>
      </c>
      <c r="B27" s="12" t="s">
        <v>25</v>
      </c>
      <c r="C27" s="13">
        <v>2</v>
      </c>
      <c r="D27" s="14">
        <v>11655</v>
      </c>
      <c r="E27" s="15">
        <f t="shared" si="0"/>
        <v>23310</v>
      </c>
      <c r="F27" s="16" t="s">
        <v>10</v>
      </c>
      <c r="G27" s="17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4.75" customHeight="1">
      <c r="A28" s="11">
        <v>17</v>
      </c>
      <c r="B28" s="12" t="s">
        <v>26</v>
      </c>
      <c r="C28" s="18">
        <v>2</v>
      </c>
      <c r="D28" s="14">
        <v>2775</v>
      </c>
      <c r="E28" s="15">
        <f t="shared" si="0"/>
        <v>5550</v>
      </c>
      <c r="F28" s="16" t="s">
        <v>10</v>
      </c>
      <c r="G28" s="17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4.75" customHeight="1">
      <c r="A29" s="11">
        <v>18</v>
      </c>
      <c r="B29" s="12" t="s">
        <v>27</v>
      </c>
      <c r="C29" s="18">
        <v>1</v>
      </c>
      <c r="D29" s="14">
        <v>4995</v>
      </c>
      <c r="E29" s="15">
        <f t="shared" si="0"/>
        <v>4995</v>
      </c>
      <c r="F29" s="16" t="s">
        <v>10</v>
      </c>
      <c r="G29" s="17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4.75" customHeight="1">
      <c r="A30" s="11">
        <v>19</v>
      </c>
      <c r="B30" s="12" t="s">
        <v>28</v>
      </c>
      <c r="C30" s="18">
        <v>2</v>
      </c>
      <c r="D30" s="14">
        <v>11100</v>
      </c>
      <c r="E30" s="15">
        <f t="shared" si="0"/>
        <v>22200</v>
      </c>
      <c r="F30" s="16" t="s">
        <v>10</v>
      </c>
      <c r="G30" s="17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4.75" customHeight="1">
      <c r="A31" s="11">
        <v>20</v>
      </c>
      <c r="B31" s="12" t="s">
        <v>29</v>
      </c>
      <c r="C31" s="18">
        <v>1</v>
      </c>
      <c r="D31" s="14">
        <v>26196</v>
      </c>
      <c r="E31" s="15">
        <f t="shared" si="0"/>
        <v>26196</v>
      </c>
      <c r="F31" s="16" t="s">
        <v>10</v>
      </c>
      <c r="G31" s="17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4.75" customHeight="1">
      <c r="A32" s="11">
        <v>21</v>
      </c>
      <c r="B32" s="12" t="s">
        <v>30</v>
      </c>
      <c r="C32" s="13">
        <v>1</v>
      </c>
      <c r="D32" s="14">
        <v>26196</v>
      </c>
      <c r="E32" s="15">
        <f t="shared" si="0"/>
        <v>26196</v>
      </c>
      <c r="F32" s="16" t="s">
        <v>10</v>
      </c>
      <c r="G32" s="17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4.75" customHeight="1">
      <c r="A33" s="11">
        <v>22</v>
      </c>
      <c r="B33" s="12" t="s">
        <v>31</v>
      </c>
      <c r="C33" s="18">
        <v>3</v>
      </c>
      <c r="D33" s="14">
        <v>194250</v>
      </c>
      <c r="E33" s="15">
        <f t="shared" si="0"/>
        <v>582750</v>
      </c>
      <c r="F33" s="16" t="s">
        <v>10</v>
      </c>
      <c r="G33" s="17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4.75" customHeight="1">
      <c r="A34" s="11">
        <v>23</v>
      </c>
      <c r="B34" s="12" t="s">
        <v>32</v>
      </c>
      <c r="C34" s="13">
        <v>2</v>
      </c>
      <c r="D34" s="14">
        <v>194250</v>
      </c>
      <c r="E34" s="15">
        <f t="shared" si="0"/>
        <v>388500</v>
      </c>
      <c r="F34" s="16" t="s">
        <v>10</v>
      </c>
      <c r="G34" s="17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4.75" customHeight="1">
      <c r="A35" s="11">
        <v>24</v>
      </c>
      <c r="B35" s="21" t="s">
        <v>33</v>
      </c>
      <c r="C35" s="18">
        <v>2</v>
      </c>
      <c r="D35" s="22">
        <v>188370</v>
      </c>
      <c r="E35" s="15">
        <f t="shared" si="0"/>
        <v>376740</v>
      </c>
      <c r="F35" s="16" t="s">
        <v>10</v>
      </c>
      <c r="G35" s="17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4.75" customHeight="1">
      <c r="A36" s="11">
        <v>25</v>
      </c>
      <c r="B36" s="21" t="s">
        <v>34</v>
      </c>
      <c r="C36" s="18">
        <v>1</v>
      </c>
      <c r="D36" s="22">
        <v>42753</v>
      </c>
      <c r="E36" s="15">
        <f t="shared" si="0"/>
        <v>42753</v>
      </c>
      <c r="F36" s="16" t="s">
        <v>10</v>
      </c>
      <c r="G36" s="17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4.75" customHeight="1">
      <c r="A37" s="11">
        <v>26</v>
      </c>
      <c r="B37" s="21" t="s">
        <v>35</v>
      </c>
      <c r="C37" s="18">
        <v>1</v>
      </c>
      <c r="D37" s="22">
        <v>125000</v>
      </c>
      <c r="E37" s="15">
        <f t="shared" si="0"/>
        <v>125000</v>
      </c>
      <c r="F37" s="16" t="s">
        <v>10</v>
      </c>
      <c r="G37" s="17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4.75" customHeight="1">
      <c r="A38" s="11">
        <v>27</v>
      </c>
      <c r="B38" s="21" t="s">
        <v>36</v>
      </c>
      <c r="C38" s="18">
        <v>1</v>
      </c>
      <c r="D38" s="23">
        <v>10118</v>
      </c>
      <c r="E38" s="15">
        <f t="shared" si="0"/>
        <v>10118</v>
      </c>
      <c r="F38" s="16" t="s">
        <v>10</v>
      </c>
      <c r="G38" s="17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4.75" customHeight="1">
      <c r="A39" s="11">
        <v>28</v>
      </c>
      <c r="B39" s="21" t="s">
        <v>37</v>
      </c>
      <c r="C39" s="18">
        <v>1</v>
      </c>
      <c r="D39" s="23">
        <v>10118</v>
      </c>
      <c r="E39" s="15">
        <f t="shared" si="0"/>
        <v>10118</v>
      </c>
      <c r="F39" s="16" t="s">
        <v>10</v>
      </c>
      <c r="G39" s="17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4.75" customHeight="1">
      <c r="A40" s="11">
        <v>29</v>
      </c>
      <c r="B40" s="12" t="s">
        <v>38</v>
      </c>
      <c r="C40" s="18">
        <v>1</v>
      </c>
      <c r="D40" s="14">
        <v>88800</v>
      </c>
      <c r="E40" s="15">
        <f t="shared" si="0"/>
        <v>88800</v>
      </c>
      <c r="F40" s="16" t="s">
        <v>10</v>
      </c>
      <c r="G40" s="17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4.75" customHeight="1">
      <c r="A41" s="11">
        <v>30</v>
      </c>
      <c r="B41" s="12" t="s">
        <v>39</v>
      </c>
      <c r="C41" s="18">
        <v>2</v>
      </c>
      <c r="D41" s="14">
        <v>88800</v>
      </c>
      <c r="E41" s="15">
        <f t="shared" si="0"/>
        <v>177600</v>
      </c>
      <c r="F41" s="16" t="s">
        <v>10</v>
      </c>
      <c r="G41" s="17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4.75" customHeight="1">
      <c r="A42" s="11">
        <v>31</v>
      </c>
      <c r="B42" s="12" t="s">
        <v>40</v>
      </c>
      <c r="C42" s="18">
        <v>2</v>
      </c>
      <c r="D42" s="14">
        <v>88800</v>
      </c>
      <c r="E42" s="15">
        <f t="shared" si="0"/>
        <v>177600</v>
      </c>
      <c r="F42" s="16" t="s">
        <v>10</v>
      </c>
      <c r="G42" s="17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4.75" customHeight="1">
      <c r="A43" s="11">
        <v>32</v>
      </c>
      <c r="B43" s="12" t="s">
        <v>41</v>
      </c>
      <c r="C43" s="18">
        <v>2</v>
      </c>
      <c r="D43" s="14">
        <v>88800</v>
      </c>
      <c r="E43" s="15">
        <f t="shared" si="0"/>
        <v>177600</v>
      </c>
      <c r="F43" s="16" t="s">
        <v>10</v>
      </c>
      <c r="G43" s="17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4.75" customHeight="1">
      <c r="A44" s="11">
        <v>33</v>
      </c>
      <c r="B44" s="12" t="s">
        <v>42</v>
      </c>
      <c r="C44" s="18">
        <v>3</v>
      </c>
      <c r="D44" s="14">
        <v>95460</v>
      </c>
      <c r="E44" s="15">
        <f t="shared" si="0"/>
        <v>286380</v>
      </c>
      <c r="F44" s="16" t="s">
        <v>10</v>
      </c>
      <c r="G44" s="17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>
      <c r="A45" s="24"/>
      <c r="B45" s="24"/>
      <c r="C45" s="25"/>
      <c r="D45" s="26">
        <f t="shared" ref="D45:E45" si="1">SUM(D12:D44)</f>
        <v>1714047</v>
      </c>
      <c r="E45" s="26">
        <f t="shared" si="1"/>
        <v>3679361</v>
      </c>
      <c r="F45" s="27"/>
      <c r="G45" s="24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>
      <c r="A46" s="28"/>
      <c r="B46" s="29"/>
      <c r="C46" s="30" t="s">
        <v>43</v>
      </c>
      <c r="D46" s="30"/>
      <c r="E46" s="30"/>
      <c r="F46" s="30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customHeight="1">
      <c r="A47" s="28"/>
      <c r="B47" s="31" t="s">
        <v>44</v>
      </c>
      <c r="C47" s="24"/>
      <c r="D47" s="24"/>
      <c r="E47" s="24"/>
      <c r="F47" s="30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customHeight="1">
      <c r="A48" s="28"/>
      <c r="B48" s="31" t="s">
        <v>45</v>
      </c>
      <c r="C48" s="24"/>
      <c r="D48" s="24"/>
      <c r="E48" s="31" t="s">
        <v>46</v>
      </c>
      <c r="F48" s="30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customHeight="1">
      <c r="A49" s="28"/>
      <c r="B49" s="31" t="s">
        <v>47</v>
      </c>
      <c r="C49" s="24"/>
      <c r="D49" s="24"/>
      <c r="E49" s="24"/>
      <c r="F49" s="30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>
      <c r="A50" s="28"/>
      <c r="B50" s="24"/>
      <c r="C50" s="24"/>
      <c r="D50" s="24"/>
      <c r="E50" s="24"/>
      <c r="F50" s="30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>
      <c r="A51" s="28"/>
      <c r="B51" s="24"/>
      <c r="C51" s="24"/>
      <c r="D51" s="24"/>
      <c r="E51" s="24"/>
      <c r="F51" s="30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>
      <c r="A52" s="28"/>
      <c r="B52" s="24"/>
      <c r="C52" s="24"/>
      <c r="D52" s="24"/>
      <c r="E52" s="24"/>
      <c r="F52" s="30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>
      <c r="A53" s="28"/>
      <c r="B53" s="45" t="s">
        <v>59</v>
      </c>
      <c r="C53" s="24"/>
      <c r="D53" s="24"/>
      <c r="E53" s="31" t="s">
        <v>60</v>
      </c>
      <c r="F53" s="30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>
      <c r="A54" s="28"/>
      <c r="B54" s="31" t="s">
        <v>61</v>
      </c>
      <c r="C54" s="24"/>
      <c r="D54" s="24"/>
      <c r="E54" s="31" t="s">
        <v>62</v>
      </c>
      <c r="F54" s="30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>
      <c r="A55" s="28"/>
      <c r="B55" s="29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>
      <c r="A56" s="28"/>
      <c r="B56" s="29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>
      <c r="A57" s="28"/>
      <c r="B57" s="29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>
      <c r="A58" s="28"/>
      <c r="B58" s="29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>
      <c r="A59" s="28"/>
      <c r="B59" s="29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>
      <c r="A60" s="28"/>
      <c r="B60" s="29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>
      <c r="A61" s="28"/>
      <c r="B61" s="29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>
      <c r="A62" s="28"/>
      <c r="B62" s="29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>
      <c r="A63" s="28"/>
      <c r="B63" s="29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>
      <c r="A64" s="28"/>
      <c r="B64" s="29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customHeight="1">
      <c r="A65" s="28"/>
      <c r="B65" s="29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customHeight="1">
      <c r="A66" s="28"/>
      <c r="B66" s="29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customHeight="1">
      <c r="A67" s="28"/>
      <c r="B67" s="29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customHeight="1">
      <c r="A68" s="28"/>
      <c r="B68" s="29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customHeight="1">
      <c r="A69" s="28"/>
      <c r="B69" s="29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customHeight="1">
      <c r="A70" s="28"/>
      <c r="B70" s="29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customHeight="1">
      <c r="A71" s="28"/>
      <c r="B71" s="29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customHeight="1">
      <c r="A72" s="28"/>
      <c r="B72" s="29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>
      <c r="A73" s="28"/>
      <c r="B73" s="29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customHeight="1">
      <c r="A74" s="28"/>
      <c r="B74" s="29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customHeight="1">
      <c r="A75" s="28"/>
      <c r="B75" s="29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customHeight="1">
      <c r="A76" s="28"/>
      <c r="B76" s="29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customHeight="1">
      <c r="A77" s="28"/>
      <c r="B77" s="29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customHeight="1">
      <c r="A78" s="28"/>
      <c r="B78" s="29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customHeight="1">
      <c r="A79" s="28"/>
      <c r="B79" s="29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customHeight="1">
      <c r="A80" s="28"/>
      <c r="B80" s="29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customHeight="1">
      <c r="A81" s="28"/>
      <c r="B81" s="29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customHeight="1">
      <c r="A82" s="28"/>
      <c r="B82" s="29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customHeight="1">
      <c r="A83" s="28"/>
      <c r="B83" s="29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customHeight="1">
      <c r="A84" s="28"/>
      <c r="B84" s="29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customHeight="1">
      <c r="A85" s="28"/>
      <c r="B85" s="29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75" customHeight="1">
      <c r="A86" s="28"/>
      <c r="B86" s="29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75" customHeight="1">
      <c r="A87" s="28"/>
      <c r="B87" s="29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75" customHeight="1">
      <c r="A88" s="28"/>
      <c r="B88" s="29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75" customHeight="1">
      <c r="A89" s="28"/>
      <c r="B89" s="29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75" customHeight="1">
      <c r="A90" s="28"/>
      <c r="B90" s="29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75" customHeight="1">
      <c r="A91" s="28"/>
      <c r="B91" s="29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75" customHeight="1">
      <c r="A92" s="28"/>
      <c r="B92" s="29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75" customHeight="1">
      <c r="A93" s="28"/>
      <c r="B93" s="29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75" customHeight="1">
      <c r="A94" s="28"/>
      <c r="B94" s="29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75" customHeight="1">
      <c r="A95" s="28"/>
      <c r="B95" s="29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75" customHeight="1">
      <c r="A96" s="28"/>
      <c r="B96" s="29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75" customHeight="1">
      <c r="A97" s="28"/>
      <c r="B97" s="29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75" customHeight="1">
      <c r="A98" s="28"/>
      <c r="B98" s="29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75" customHeight="1">
      <c r="A99" s="28"/>
      <c r="B99" s="29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75" customHeight="1">
      <c r="A100" s="28"/>
      <c r="B100" s="29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75" customHeight="1">
      <c r="A101" s="28"/>
      <c r="B101" s="29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>
      <c r="A102" s="28"/>
      <c r="B102" s="29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75" customHeight="1">
      <c r="A103" s="28"/>
      <c r="B103" s="29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75" customHeight="1">
      <c r="A104" s="28"/>
      <c r="B104" s="29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75" customHeight="1">
      <c r="A105" s="28"/>
      <c r="B105" s="29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75" customHeight="1">
      <c r="A106" s="28"/>
      <c r="B106" s="29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75" customHeight="1">
      <c r="A107" s="28"/>
      <c r="B107" s="29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75" customHeight="1">
      <c r="A108" s="28"/>
      <c r="B108" s="29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75" customHeight="1">
      <c r="A109" s="28"/>
      <c r="B109" s="29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75" customHeight="1">
      <c r="A110" s="28"/>
      <c r="B110" s="29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75" customHeight="1">
      <c r="A111" s="28"/>
      <c r="B111" s="29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75" customHeight="1">
      <c r="A112" s="28"/>
      <c r="B112" s="29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75" customHeight="1">
      <c r="A113" s="28"/>
      <c r="B113" s="29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75" customHeight="1">
      <c r="A114" s="28"/>
      <c r="B114" s="29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75" customHeight="1">
      <c r="A115" s="28"/>
      <c r="B115" s="29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75" customHeight="1">
      <c r="A116" s="28"/>
      <c r="B116" s="29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75" customHeight="1">
      <c r="A117" s="28"/>
      <c r="B117" s="29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75" customHeight="1">
      <c r="A118" s="28"/>
      <c r="B118" s="29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75" customHeight="1">
      <c r="A119" s="28"/>
      <c r="B119" s="29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75" customHeight="1">
      <c r="A120" s="28"/>
      <c r="B120" s="29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75" customHeight="1">
      <c r="A121" s="28"/>
      <c r="B121" s="29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75" customHeight="1">
      <c r="A122" s="28"/>
      <c r="B122" s="29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75" customHeight="1">
      <c r="A123" s="28"/>
      <c r="B123" s="29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75" customHeight="1">
      <c r="A124" s="28"/>
      <c r="B124" s="29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75" customHeight="1">
      <c r="A125" s="28"/>
      <c r="B125" s="29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75" customHeight="1">
      <c r="A126" s="28"/>
      <c r="B126" s="29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75" customHeight="1">
      <c r="A127" s="28"/>
      <c r="B127" s="29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75" customHeight="1">
      <c r="A128" s="28"/>
      <c r="B128" s="29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75" customHeight="1">
      <c r="A129" s="28"/>
      <c r="B129" s="29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75" customHeight="1">
      <c r="A130" s="28"/>
      <c r="B130" s="29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75" customHeight="1">
      <c r="A131" s="28"/>
      <c r="B131" s="29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75" customHeight="1">
      <c r="A132" s="28"/>
      <c r="B132" s="29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75" customHeight="1">
      <c r="A133" s="28"/>
      <c r="B133" s="29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75" customHeight="1">
      <c r="A134" s="28"/>
      <c r="B134" s="29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75" customHeight="1">
      <c r="A135" s="28"/>
      <c r="B135" s="29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75" customHeight="1">
      <c r="A136" s="28"/>
      <c r="B136" s="29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75" customHeight="1">
      <c r="A137" s="28"/>
      <c r="B137" s="29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75" customHeight="1">
      <c r="A138" s="28"/>
      <c r="B138" s="29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75" customHeight="1">
      <c r="A139" s="28"/>
      <c r="B139" s="29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75" customHeight="1">
      <c r="A140" s="28"/>
      <c r="B140" s="29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75" customHeight="1">
      <c r="A141" s="28"/>
      <c r="B141" s="29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75" customHeight="1">
      <c r="A142" s="28"/>
      <c r="B142" s="2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75" customHeight="1">
      <c r="A143" s="28"/>
      <c r="B143" s="29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75" customHeight="1">
      <c r="A144" s="28"/>
      <c r="B144" s="2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75" customHeight="1">
      <c r="A145" s="28"/>
      <c r="B145" s="29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75" customHeight="1">
      <c r="A146" s="28"/>
      <c r="B146" s="2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75" customHeight="1">
      <c r="A147" s="28"/>
      <c r="B147" s="29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75" customHeight="1">
      <c r="A148" s="28"/>
      <c r="B148" s="2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75" customHeight="1">
      <c r="A149" s="28"/>
      <c r="B149" s="2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75" customHeight="1">
      <c r="A150" s="28"/>
      <c r="B150" s="2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75" customHeight="1">
      <c r="A151" s="28"/>
      <c r="B151" s="2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75" customHeight="1">
      <c r="A152" s="28"/>
      <c r="B152" s="2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75" customHeight="1">
      <c r="A153" s="28"/>
      <c r="B153" s="2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75" customHeight="1">
      <c r="A154" s="28"/>
      <c r="B154" s="2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75" customHeight="1">
      <c r="A155" s="28"/>
      <c r="B155" s="2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75" customHeight="1">
      <c r="A156" s="28"/>
      <c r="B156" s="2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75" customHeight="1">
      <c r="A157" s="28"/>
      <c r="B157" s="2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75" customHeight="1">
      <c r="A158" s="28"/>
      <c r="B158" s="2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75" customHeight="1">
      <c r="A159" s="28"/>
      <c r="B159" s="2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75" customHeight="1">
      <c r="A160" s="28"/>
      <c r="B160" s="2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75" customHeight="1">
      <c r="A161" s="28"/>
      <c r="B161" s="2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75" customHeight="1">
      <c r="A162" s="28"/>
      <c r="B162" s="2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75" customHeight="1">
      <c r="A163" s="28"/>
      <c r="B163" s="2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75" customHeight="1">
      <c r="A164" s="28"/>
      <c r="B164" s="2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>
      <c r="A165" s="28"/>
      <c r="B165" s="2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>
      <c r="A166" s="28"/>
      <c r="B166" s="2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>
      <c r="A167" s="28"/>
      <c r="B167" s="2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>
      <c r="A168" s="28"/>
      <c r="B168" s="2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>
      <c r="A169" s="28"/>
      <c r="B169" s="2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>
      <c r="A170" s="28"/>
      <c r="B170" s="2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>
      <c r="A171" s="28"/>
      <c r="B171" s="2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>
      <c r="A172" s="28"/>
      <c r="B172" s="2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>
      <c r="A173" s="28"/>
      <c r="B173" s="2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>
      <c r="A174" s="28"/>
      <c r="B174" s="2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>
      <c r="A175" s="28"/>
      <c r="B175" s="2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>
      <c r="A176" s="28"/>
      <c r="B176" s="2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>
      <c r="A177" s="28"/>
      <c r="B177" s="2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>
      <c r="A178" s="28"/>
      <c r="B178" s="2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>
      <c r="A179" s="28"/>
      <c r="B179" s="2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>
      <c r="A180" s="28"/>
      <c r="B180" s="2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>
      <c r="A181" s="28"/>
      <c r="B181" s="2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>
      <c r="A182" s="28"/>
      <c r="B182" s="2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>
      <c r="A183" s="28"/>
      <c r="B183" s="2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>
      <c r="A184" s="28"/>
      <c r="B184" s="2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>
      <c r="A185" s="28"/>
      <c r="B185" s="2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>
      <c r="A186" s="28"/>
      <c r="B186" s="2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>
      <c r="A187" s="28"/>
      <c r="B187" s="2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>
      <c r="A188" s="28"/>
      <c r="B188" s="2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>
      <c r="A189" s="28"/>
      <c r="B189" s="2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>
      <c r="A190" s="28"/>
      <c r="B190" s="2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>
      <c r="A191" s="28"/>
      <c r="B191" s="2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>
      <c r="A192" s="28"/>
      <c r="B192" s="2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>
      <c r="A193" s="28"/>
      <c r="B193" s="2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>
      <c r="A194" s="28"/>
      <c r="B194" s="2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>
      <c r="A195" s="28"/>
      <c r="B195" s="2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>
      <c r="A196" s="28"/>
      <c r="B196" s="2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>
      <c r="A197" s="28"/>
      <c r="B197" s="2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>
      <c r="A198" s="28"/>
      <c r="B198" s="2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>
      <c r="A199" s="28"/>
      <c r="B199" s="2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>
      <c r="A200" s="28"/>
      <c r="B200" s="2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>
      <c r="A201" s="28"/>
      <c r="B201" s="2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>
      <c r="A202" s="28"/>
      <c r="B202" s="2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>
      <c r="A203" s="28"/>
      <c r="B203" s="2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>
      <c r="A204" s="28"/>
      <c r="B204" s="2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>
      <c r="A205" s="28"/>
      <c r="B205" s="2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>
      <c r="A206" s="28"/>
      <c r="B206" s="2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>
      <c r="A207" s="28"/>
      <c r="B207" s="2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>
      <c r="A208" s="28"/>
      <c r="B208" s="2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>
      <c r="A209" s="28"/>
      <c r="B209" s="2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>
      <c r="A210" s="28"/>
      <c r="B210" s="2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>
      <c r="A211" s="28"/>
      <c r="B211" s="2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>
      <c r="A212" s="28"/>
      <c r="B212" s="2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>
      <c r="A213" s="28"/>
      <c r="B213" s="2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>
      <c r="A214" s="28"/>
      <c r="B214" s="2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>
      <c r="A215" s="28"/>
      <c r="B215" s="2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>
      <c r="A216" s="28"/>
      <c r="B216" s="2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>
      <c r="A217" s="28"/>
      <c r="B217" s="2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>
      <c r="A218" s="28"/>
      <c r="B218" s="2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>
      <c r="A219" s="28"/>
      <c r="B219" s="2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>
      <c r="A220" s="28"/>
      <c r="B220" s="2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>
      <c r="A221" s="28"/>
      <c r="B221" s="2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75" customHeight="1">
      <c r="A222" s="28"/>
      <c r="B222" s="2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.75" customHeight="1">
      <c r="A223" s="28"/>
      <c r="B223" s="2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.75" customHeight="1">
      <c r="A224" s="28"/>
      <c r="B224" s="2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.75" customHeight="1">
      <c r="A225" s="28"/>
      <c r="B225" s="2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.75" customHeight="1">
      <c r="A226" s="28"/>
      <c r="B226" s="2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.75" customHeight="1">
      <c r="A227" s="28"/>
      <c r="B227" s="2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.75" customHeight="1">
      <c r="A228" s="28"/>
      <c r="B228" s="2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.75" customHeight="1">
      <c r="A229" s="28"/>
      <c r="B229" s="2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75" customHeight="1">
      <c r="A230" s="28"/>
      <c r="B230" s="2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.75" customHeight="1">
      <c r="A231" s="28"/>
      <c r="B231" s="2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.75" customHeight="1">
      <c r="A232" s="28"/>
      <c r="B232" s="2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.75" customHeight="1">
      <c r="A233" s="28"/>
      <c r="B233" s="2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.75" customHeight="1">
      <c r="A234" s="28"/>
      <c r="B234" s="2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75" customHeight="1">
      <c r="A235" s="28"/>
      <c r="B235" s="2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.75" customHeight="1">
      <c r="A236" s="28"/>
      <c r="B236" s="2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.75" customHeight="1">
      <c r="A237" s="28"/>
      <c r="B237" s="2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75" customHeight="1">
      <c r="A238" s="28"/>
      <c r="B238" s="2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75" customHeight="1">
      <c r="A239" s="28"/>
      <c r="B239" s="2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>
      <c r="A240" s="28"/>
      <c r="B240" s="2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75" customHeight="1">
      <c r="A241" s="28"/>
      <c r="B241" s="2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75" customHeight="1">
      <c r="A242" s="28"/>
      <c r="B242" s="2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75" customHeight="1">
      <c r="A243" s="28"/>
      <c r="B243" s="2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75" customHeight="1">
      <c r="A244" s="28"/>
      <c r="B244" s="2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>
      <c r="A245" s="28"/>
      <c r="B245" s="2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>
      <c r="A246" s="28"/>
      <c r="B246" s="2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>
      <c r="A247" s="28"/>
      <c r="B247" s="2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>
      <c r="A248" s="28"/>
      <c r="B248" s="2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>
      <c r="A249" s="28"/>
      <c r="B249" s="2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>
      <c r="A250" s="28"/>
      <c r="B250" s="2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>
      <c r="A251" s="28"/>
      <c r="B251" s="2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>
      <c r="A252" s="28"/>
      <c r="B252" s="2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>
      <c r="A253" s="28"/>
      <c r="B253" s="2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>
      <c r="A254" s="28"/>
      <c r="B254" s="2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/>
    <row r="256" spans="1:26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8">
    <mergeCell ref="A7:E7"/>
    <mergeCell ref="A8:E8"/>
    <mergeCell ref="A10:A11"/>
    <mergeCell ref="B10:B11"/>
    <mergeCell ref="C10:E10"/>
    <mergeCell ref="F10:G10"/>
    <mergeCell ref="A2:E2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januari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silmi yushini</dc:creator>
  <cp:lastModifiedBy>silmi yushini</cp:lastModifiedBy>
  <dcterms:created xsi:type="dcterms:W3CDTF">2026-03-28T15:16:48Z</dcterms:created>
  <dcterms:modified xsi:type="dcterms:W3CDTF">2026-03-28T15:19:03Z</dcterms:modified>
</cp:coreProperties>
</file>